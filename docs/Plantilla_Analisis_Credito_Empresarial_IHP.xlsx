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kaizenholdings-my.sharepoint.com/personal/grojas_kz_finance/Documents/Documentos/CURSO DE RIESGO/"/>
    </mc:Choice>
  </mc:AlternateContent>
  <xr:revisionPtr revIDLastSave="0" documentId="8_{A1374416-4AD9-4D25-98AA-AAA97B1B9BE2}" xr6:coauthVersionLast="47" xr6:coauthVersionMax="47" xr10:uidLastSave="{00000000-0000-0000-0000-000000000000}"/>
  <bookViews>
    <workbookView xWindow="-120" yWindow="-120" windowWidth="29040" windowHeight="15720" tabRatio="500" xr2:uid="{00000000-000D-0000-FFFF-FFFF00000000}"/>
  </bookViews>
  <sheets>
    <sheet name="Inicio_Guía" sheetId="1" r:id="rId1"/>
    <sheet name="ER_3Años" sheetId="2" r:id="rId2"/>
    <sheet name="BG_3Años" sheetId="3" r:id="rId3"/>
    <sheet name="Flujo_3Años" sheetId="4" r:id="rId4"/>
    <sheet name="Crédito_DSCR" sheetId="5" r:id="rId5"/>
    <sheet name="Indicadores" sheetId="6" r:id="rId6"/>
    <sheet name="Altman_Z" sheetId="7" r:id="rId7"/>
    <sheet name="Matriz_Decisión" sheetId="8" r:id="rId8"/>
    <sheet name="Guía_Rangos" sheetId="9" r:id="rId9"/>
  </sheets>
  <definedNames>
    <definedName name="_xlnm.Print_Area" localSheetId="6">Altman_Z!$A$1:$W$91</definedName>
    <definedName name="_xlnm.Print_Area" localSheetId="2">BG_3Años!$A$1:$G$34</definedName>
    <definedName name="_xlnm.Print_Area" localSheetId="4">Crédito_DSCR!$A$1:$I$57</definedName>
    <definedName name="_xlnm.Print_Area" localSheetId="1">ER_3Años!$A$1:$G$23</definedName>
    <definedName name="_xlnm.Print_Area" localSheetId="3">Flujo_3Años!$A$1:$G$36</definedName>
    <definedName name="_xlnm.Print_Area" localSheetId="8">Guía_Rangos!$A$1:$H$29</definedName>
    <definedName name="_xlnm.Print_Area" localSheetId="5">Indicadores!$A$1:$J$102</definedName>
    <definedName name="_xlnm.Print_Area" localSheetId="0">Inicio_Guía!$A$1:$I$59</definedName>
    <definedName name="_xlnm.Print_Area" localSheetId="7">Matriz_Decisión!$A$1:$I$45</definedName>
    <definedName name="_xlnm.Print_Titles" localSheetId="6">Altman_Z!$1:$5</definedName>
    <definedName name="_xlnm.Print_Titles" localSheetId="2">BG_3Años!$1:$5</definedName>
    <definedName name="_xlnm.Print_Titles" localSheetId="4">Crédito_DSCR!$1:$5</definedName>
    <definedName name="_xlnm.Print_Titles" localSheetId="1">ER_3Años!$1:$5</definedName>
    <definedName name="_xlnm.Print_Titles" localSheetId="3">Flujo_3Años!$1:$5</definedName>
    <definedName name="_xlnm.Print_Titles" localSheetId="8">Guía_Rangos!$1:$5</definedName>
    <definedName name="_xlnm.Print_Titles" localSheetId="5">Indicadores!$1:$5</definedName>
    <definedName name="_xlnm.Print_Titles" localSheetId="0">Inicio_Guía!$1:$5</definedName>
    <definedName name="_xlnm.Print_Titles" localSheetId="7">Matriz_Decisión!$1:$5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6" i="8" l="1"/>
  <c r="H15" i="8"/>
  <c r="F15" i="8"/>
  <c r="E15" i="8"/>
  <c r="H14" i="8"/>
  <c r="F14" i="8"/>
  <c r="E14" i="8"/>
  <c r="H13" i="8"/>
  <c r="F13" i="8"/>
  <c r="E13" i="8"/>
  <c r="H12" i="8"/>
  <c r="F12" i="8"/>
  <c r="E12" i="8"/>
  <c r="H11" i="8"/>
  <c r="F11" i="8"/>
  <c r="E11" i="8"/>
  <c r="H10" i="8"/>
  <c r="F10" i="8"/>
  <c r="E10" i="8"/>
  <c r="H9" i="8"/>
  <c r="F9" i="8"/>
  <c r="E9" i="8"/>
  <c r="H8" i="8"/>
  <c r="F8" i="8"/>
  <c r="E8" i="8"/>
  <c r="H7" i="8"/>
  <c r="F7" i="8"/>
  <c r="E7" i="8"/>
  <c r="H6" i="8"/>
  <c r="F6" i="8"/>
  <c r="F16" i="8" s="1"/>
  <c r="C19" i="8" s="1"/>
  <c r="E6" i="8"/>
  <c r="C77" i="7"/>
  <c r="C76" i="7"/>
  <c r="E16" i="7"/>
  <c r="D16" i="7"/>
  <c r="C16" i="7"/>
  <c r="E7" i="7"/>
  <c r="E8" i="7" s="1"/>
  <c r="D7" i="7"/>
  <c r="D8" i="7" s="1"/>
  <c r="C7" i="7"/>
  <c r="C8" i="7" s="1"/>
  <c r="E26" i="6"/>
  <c r="E27" i="6" s="1"/>
  <c r="I27" i="6" s="1"/>
  <c r="D26" i="6"/>
  <c r="D27" i="6" s="1"/>
  <c r="C26" i="6"/>
  <c r="C27" i="6" s="1"/>
  <c r="E24" i="6"/>
  <c r="E25" i="6" s="1"/>
  <c r="D24" i="6"/>
  <c r="D25" i="6" s="1"/>
  <c r="D28" i="6" s="1"/>
  <c r="C24" i="6"/>
  <c r="C25" i="6" s="1"/>
  <c r="C28" i="6" s="1"/>
  <c r="D23" i="6"/>
  <c r="C23" i="6"/>
  <c r="E22" i="6"/>
  <c r="E23" i="6" s="1"/>
  <c r="I23" i="6" s="1"/>
  <c r="D22" i="6"/>
  <c r="C22" i="6"/>
  <c r="H33" i="5"/>
  <c r="G33" i="5"/>
  <c r="F33" i="5"/>
  <c r="E33" i="5"/>
  <c r="D33" i="5"/>
  <c r="C33" i="5"/>
  <c r="C15" i="5"/>
  <c r="E29" i="4"/>
  <c r="D29" i="4"/>
  <c r="E26" i="4"/>
  <c r="D26" i="4"/>
  <c r="C26" i="4"/>
  <c r="E21" i="4"/>
  <c r="D21" i="4"/>
  <c r="C21" i="4"/>
  <c r="E14" i="4"/>
  <c r="D14" i="4"/>
  <c r="C14" i="4"/>
  <c r="E13" i="4"/>
  <c r="D13" i="4"/>
  <c r="C13" i="4"/>
  <c r="E12" i="4"/>
  <c r="D12" i="4"/>
  <c r="C12" i="4"/>
  <c r="E11" i="4"/>
  <c r="D11" i="4"/>
  <c r="C11" i="4"/>
  <c r="E20" i="3"/>
  <c r="D20" i="3"/>
  <c r="C20" i="3"/>
  <c r="E11" i="3"/>
  <c r="D11" i="3"/>
  <c r="C11" i="3"/>
  <c r="E8" i="2"/>
  <c r="D8" i="2"/>
  <c r="C8" i="2"/>
  <c r="C20" i="8" l="1"/>
  <c r="B28" i="8"/>
  <c r="I25" i="6"/>
  <c r="E28" i="6"/>
  <c r="I28" i="6" s="1"/>
  <c r="C17" i="5"/>
  <c r="D15" i="5" s="1"/>
  <c r="C18" i="5"/>
  <c r="C19" i="5" s="1"/>
  <c r="C21" i="5" s="1"/>
  <c r="E12" i="7"/>
  <c r="E8" i="6"/>
  <c r="I8" i="6" s="1"/>
  <c r="E23" i="3"/>
  <c r="D12" i="7"/>
  <c r="D8" i="6"/>
  <c r="D23" i="3"/>
  <c r="C12" i="7"/>
  <c r="C8" i="6"/>
  <c r="C23" i="3"/>
  <c r="E11" i="7"/>
  <c r="E7" i="6"/>
  <c r="I7" i="6" s="1"/>
  <c r="E14" i="3"/>
  <c r="E9" i="6" s="1"/>
  <c r="I9" i="6" s="1"/>
  <c r="D11" i="7"/>
  <c r="D13" i="7" s="1"/>
  <c r="D7" i="6"/>
  <c r="D14" i="3"/>
  <c r="D9" i="6" s="1"/>
  <c r="C11" i="7"/>
  <c r="C7" i="6"/>
  <c r="C14" i="3"/>
  <c r="C9" i="6" s="1"/>
  <c r="E15" i="6"/>
  <c r="I15" i="6" s="1"/>
  <c r="E13" i="2"/>
  <c r="D15" i="6"/>
  <c r="D13" i="2"/>
  <c r="C15" i="6"/>
  <c r="C13" i="2"/>
  <c r="D16" i="5" l="1"/>
  <c r="D17" i="5" s="1"/>
  <c r="E27" i="3"/>
  <c r="E11" i="6"/>
  <c r="I11" i="6" s="1"/>
  <c r="E12" i="6"/>
  <c r="I12" i="6" s="1"/>
  <c r="E17" i="7"/>
  <c r="E23" i="7" s="1"/>
  <c r="D27" i="3"/>
  <c r="D11" i="6"/>
  <c r="D12" i="6"/>
  <c r="D17" i="7"/>
  <c r="D23" i="7" s="1"/>
  <c r="C27" i="3"/>
  <c r="C11" i="6"/>
  <c r="C12" i="6"/>
  <c r="C17" i="7"/>
  <c r="C23" i="7" s="1"/>
  <c r="E29" i="3"/>
  <c r="E30" i="3" s="1"/>
  <c r="E20" i="6"/>
  <c r="I20" i="6" s="1"/>
  <c r="E30" i="6"/>
  <c r="E14" i="7"/>
  <c r="D29" i="3"/>
  <c r="D30" i="3" s="1"/>
  <c r="D20" i="6"/>
  <c r="D30" i="6"/>
  <c r="D14" i="7"/>
  <c r="C29" i="3"/>
  <c r="C30" i="3" s="1"/>
  <c r="C20" i="6"/>
  <c r="C30" i="6"/>
  <c r="C14" i="7"/>
  <c r="E15" i="2"/>
  <c r="E17" i="2" s="1"/>
  <c r="E19" i="2"/>
  <c r="E13" i="6" s="1"/>
  <c r="I13" i="6" s="1"/>
  <c r="E16" i="6"/>
  <c r="I16" i="6" s="1"/>
  <c r="E15" i="7"/>
  <c r="D15" i="2"/>
  <c r="D17" i="2" s="1"/>
  <c r="D19" i="2"/>
  <c r="D13" i="6" s="1"/>
  <c r="D16" i="6"/>
  <c r="D15" i="7"/>
  <c r="C15" i="2"/>
  <c r="C17" i="2" s="1"/>
  <c r="C19" i="2"/>
  <c r="C13" i="6" s="1"/>
  <c r="C16" i="6"/>
  <c r="C15" i="7"/>
  <c r="E13" i="7"/>
  <c r="C13" i="7"/>
  <c r="E21" i="7" l="1"/>
  <c r="E24" i="7"/>
  <c r="D20" i="7"/>
  <c r="D21" i="7"/>
  <c r="D24" i="7"/>
  <c r="C21" i="7"/>
  <c r="C24" i="7"/>
  <c r="E10" i="4"/>
  <c r="E17" i="6"/>
  <c r="E18" i="6"/>
  <c r="I18" i="6" s="1"/>
  <c r="E19" i="6"/>
  <c r="I19" i="6" s="1"/>
  <c r="D10" i="4"/>
  <c r="D17" i="6"/>
  <c r="D31" i="6" s="1"/>
  <c r="D18" i="6"/>
  <c r="D19" i="6"/>
  <c r="C10" i="4"/>
  <c r="C17" i="6"/>
  <c r="C31" i="6" s="1"/>
  <c r="C18" i="6"/>
  <c r="C19" i="6"/>
  <c r="E22" i="7"/>
  <c r="D22" i="7"/>
  <c r="E20" i="7"/>
  <c r="C20" i="7"/>
  <c r="C22" i="7"/>
  <c r="D18" i="5"/>
  <c r="D19" i="5" s="1"/>
  <c r="D21" i="5" s="1"/>
  <c r="E15" i="5"/>
  <c r="E15" i="4" l="1"/>
  <c r="E16" i="4"/>
  <c r="E28" i="4" s="1"/>
  <c r="E30" i="4" s="1"/>
  <c r="E31" i="4" s="1"/>
  <c r="I17" i="6"/>
  <c r="E31" i="6"/>
  <c r="D15" i="4"/>
  <c r="D16" i="4"/>
  <c r="D28" i="4" s="1"/>
  <c r="D30" i="4" s="1"/>
  <c r="D31" i="4" s="1"/>
  <c r="C15" i="4"/>
  <c r="C16" i="4"/>
  <c r="C28" i="4" s="1"/>
  <c r="C30" i="4" s="1"/>
  <c r="C31" i="4" s="1"/>
  <c r="E16" i="5"/>
  <c r="E17" i="5" s="1"/>
  <c r="E26" i="7"/>
  <c r="D26" i="7"/>
  <c r="D27" i="7" s="1"/>
  <c r="C26" i="7"/>
  <c r="C27" i="7" s="1"/>
  <c r="C79" i="7" l="1"/>
  <c r="C78" i="7"/>
  <c r="C64" i="7"/>
  <c r="E27" i="7"/>
  <c r="C65" i="7" s="1"/>
  <c r="E18" i="5"/>
  <c r="E19" i="5" s="1"/>
  <c r="E21" i="5" s="1"/>
  <c r="F15" i="5"/>
  <c r="V83" i="7" l="1"/>
  <c r="H82" i="7"/>
  <c r="I82" i="7"/>
  <c r="J82" i="7"/>
  <c r="K82" i="7"/>
  <c r="L82" i="7"/>
  <c r="M82" i="7"/>
  <c r="N82" i="7"/>
  <c r="O82" i="7"/>
  <c r="P82" i="7"/>
  <c r="Q82" i="7"/>
  <c r="R82" i="7"/>
  <c r="S82" i="7"/>
  <c r="T82" i="7"/>
  <c r="U82" i="7"/>
  <c r="V82" i="7"/>
  <c r="W82" i="7"/>
  <c r="H83" i="7"/>
  <c r="I83" i="7"/>
  <c r="J83" i="7"/>
  <c r="K83" i="7"/>
  <c r="L83" i="7"/>
  <c r="M83" i="7"/>
  <c r="N83" i="7"/>
  <c r="O83" i="7"/>
  <c r="P83" i="7"/>
  <c r="Q83" i="7"/>
  <c r="S83" i="7"/>
  <c r="U83" i="7"/>
  <c r="R83" i="7"/>
  <c r="T83" i="7"/>
  <c r="W83" i="7"/>
  <c r="T80" i="7"/>
  <c r="H81" i="7"/>
  <c r="I81" i="7"/>
  <c r="J81" i="7"/>
  <c r="K81" i="7"/>
  <c r="L81" i="7"/>
  <c r="M81" i="7"/>
  <c r="N81" i="7"/>
  <c r="O81" i="7"/>
  <c r="P81" i="7"/>
  <c r="Q81" i="7"/>
  <c r="R81" i="7"/>
  <c r="S81" i="7"/>
  <c r="T81" i="7"/>
  <c r="U81" i="7"/>
  <c r="V81" i="7"/>
  <c r="W81" i="7"/>
  <c r="F16" i="5"/>
  <c r="F17" i="5" s="1"/>
  <c r="F18" i="5" l="1"/>
  <c r="F19" i="5" s="1"/>
  <c r="F21" i="5" s="1"/>
  <c r="G15" i="5"/>
  <c r="G16" i="5" l="1"/>
  <c r="G17" i="5" s="1"/>
  <c r="G18" i="5" l="1"/>
  <c r="G19" i="5" s="1"/>
  <c r="G21" i="5" s="1"/>
  <c r="H15" i="5"/>
  <c r="H16" i="5" l="1"/>
  <c r="H17" i="5" s="1"/>
  <c r="H18" i="5" s="1"/>
  <c r="H19" i="5" s="1"/>
  <c r="H21" i="5" s="1"/>
  <c r="C24" i="5" s="1"/>
  <c r="C25" i="5" s="1"/>
</calcChain>
</file>

<file path=xl/sharedStrings.xml><?xml version="1.0" encoding="utf-8"?>
<sst xmlns="http://schemas.openxmlformats.org/spreadsheetml/2006/main" count="474" uniqueCount="431">
  <si>
    <t>Plantilla de Análisis de Otorgamiento de Crédito Empresarial</t>
  </si>
  <si>
    <t>Caso ilustrativo: Industrias de Higiene Popular, C.A. (IHP) — cifras en USD miles, años 2023-2025</t>
  </si>
  <si>
    <t>Propósito de esta plantilla</t>
  </si>
  <si>
    <t>Esta plantilla apoya el análisis de otorgamiento de crédito a empresas productivas. Utiliza como ejemplo precargado el caso ficticio de Industrias de Higiene Popular, C.A. (IHP), una empresa de higiene y limpieza que solicita financiamiento para el proyecto Beauty Cream. Todas las cifras están en USD miles, salvo que se indique lo contrario. El caso es ficticio y de uso académico; sustituya los valores de entrada (celdas en azul) por los de la empresa real que esté evaluando.</t>
  </si>
  <si>
    <t>Flujo de uso recomendado</t>
  </si>
  <si>
    <t>1. Cargar estados financieros</t>
  </si>
  <si>
    <t>Ingrese en 'ER_3Años', 'BG_3Años' y 'Flujo_3Años' los valores históricos de la empresa (celdas azules) para tres años consecutivos.</t>
  </si>
  <si>
    <t>2. Revisar indicadores y gráficos</t>
  </si>
  <si>
    <t>La pestaña 'Indicadores' calcula automáticamente liquidez, endeudamiento, rentabilidad y ciclo de efectivo, con semáforo y gráficos de evolución.</t>
  </si>
  <si>
    <t>3. Definir estructura de crédito y DSCR</t>
  </si>
  <si>
    <t>En 'Crédito_DSCR' ingrese monto, tasa, plazo, gracia y flujo disponible proyectado; la hoja calcula el servicio de deuda y el DSCR anual con semáforo.</t>
  </si>
  <si>
    <t>4. Calcular Altman Z-Score</t>
  </si>
  <si>
    <t>En 'Altman_Z' se calcula el modelo de Altman original para cada año, con clasificación de zona segura, gris o de angustia.</t>
  </si>
  <si>
    <t>5. Evaluar la decisión de crédito</t>
  </si>
  <si>
    <t>En 'Matriz_Decisión' aplique la rúbrica de evaluación ponderada y registre la decisión crediticia sugerida (aprobar, aprobar condicionado, reducir monto, postergar o rechazar).</t>
  </si>
  <si>
    <t>6. Consultar rangos de referencia</t>
  </si>
  <si>
    <t>La pestaña 'Guía_Rangos' documenta los umbrales usados en el formato condicional y las fórmulas de cada indicador.</t>
  </si>
  <si>
    <t>Leyenda de colores (semáforo de indicadores)</t>
  </si>
  <si>
    <t>Verde — Aceptable</t>
  </si>
  <si>
    <t>El indicador se ubica dentro del rango deseable según la guía de referencia.</t>
  </si>
  <si>
    <t>Amarillo — Alerta</t>
  </si>
  <si>
    <t>El indicador se aproxima al límite aceptable; requiere seguimiento cercano.</t>
  </si>
  <si>
    <t>Rojo — Revisión</t>
  </si>
  <si>
    <t>El indicador está fuera del rango aceptable; requiere revisión y mitigantes antes de aprobar.</t>
  </si>
  <si>
    <t>Convención de colores del modelo</t>
  </si>
  <si>
    <t>Azul — Entradas editables</t>
  </si>
  <si>
    <t>Celdas que el analista debe sustituir por los datos de la empresa evaluada.</t>
  </si>
  <si>
    <t>Negro — Fórmulas</t>
  </si>
  <si>
    <t>Cálculos dentro de la misma hoja; no editar.</t>
  </si>
  <si>
    <t>Verde (texto) — Vínculos entre hojas</t>
  </si>
  <si>
    <t>Fórmulas que traen valores desde otra pestaña del libro; no editar.</t>
  </si>
  <si>
    <t>Nota importante sobre los rangos</t>
  </si>
  <si>
    <t>Los rangos de aceptación, alerta y revisión utilizados en esta plantilla son orientativos, basados en prácticas generales para empresas manufactureras. Deben ajustarse al sector, tamaño, moneda, estacionalidad y naturaleza del proyecto financiado. En el caso IHP, los insumos importados pagados de contado y la venta a crédito hacen que el DSO, el ciclo de conversión de efectivo y el DSCR sean particularmente relevantes para la decisión de crédito.</t>
  </si>
  <si>
    <t>Mapa de pestañas</t>
  </si>
  <si>
    <t>Inicio_Guía</t>
  </si>
  <si>
    <t>Esta hoja: flujo de uso y leyenda.</t>
  </si>
  <si>
    <t>ER_3Años</t>
  </si>
  <si>
    <t>Estado de resultados 2023-2025 (inputs azules).</t>
  </si>
  <si>
    <t>BG_3Años</t>
  </si>
  <si>
    <t>Balance general 2023-2025 (inputs azules) con chequeo de cuadre.</t>
  </si>
  <si>
    <t>Flujo_3Años</t>
  </si>
  <si>
    <t>Flujo de efectivo simplificado 2023-2025.</t>
  </si>
  <si>
    <t>Crédito_DSCR</t>
  </si>
  <si>
    <t>Términos del crédito propuesto y cálculo de DSCR 2026-2031.</t>
  </si>
  <si>
    <t>Indicadores</t>
  </si>
  <si>
    <t>Indicadores financieros automáticos con semáforo y gráficos.</t>
  </si>
  <si>
    <t>Altman_Z</t>
  </si>
  <si>
    <t>Modelo Altman Z-Score 2023-2025 y clasificación de zona.</t>
  </si>
  <si>
    <t>Matriz_Decisión</t>
  </si>
  <si>
    <t>Rúbrica de evaluación ponderada y decisión crediticia.</t>
  </si>
  <si>
    <t>Guía_Rangos</t>
  </si>
  <si>
    <t>Definiciones y umbrales de referencia de cada indicador.</t>
  </si>
  <si>
    <t>Estado de Resultados — IHP</t>
  </si>
  <si>
    <t>Cifras en USD miles. Celdas azules = inputs editables. Sustituya por los datos de la empresa evaluada.</t>
  </si>
  <si>
    <t>Concepto (USD miles)</t>
  </si>
  <si>
    <t>Ingresos por ventas</t>
  </si>
  <si>
    <t>Costo de bienes vendidos (COGS)</t>
  </si>
  <si>
    <t>Utilidad bruta</t>
  </si>
  <si>
    <t>Gastos administrativos, comerciales y operativos</t>
  </si>
  <si>
    <t>Provisión para pérdidas crediticias</t>
  </si>
  <si>
    <t>Costos de contingencias laborales y paralizaciones</t>
  </si>
  <si>
    <t>Depreciación y amortización</t>
  </si>
  <si>
    <t>Resultado operativo (EBIT)</t>
  </si>
  <si>
    <t>Gastos financieros, cambiarios y otros</t>
  </si>
  <si>
    <t>Resultado antes de impuesto</t>
  </si>
  <si>
    <t>Impuesto estimado</t>
  </si>
  <si>
    <t>Utilidad neta</t>
  </si>
  <si>
    <t>EBITDA (EBIT + Depreciación y amortización)</t>
  </si>
  <si>
    <t>Nota: la depreciación se ingresa como valor negativo (gasto). EBITDA = EBIT - Depreciación y amortización (dado que la depreciación se resta con signo negativo, restarla nuevamente la revierte). Datos históricos de IHP tomados del caso de estudio 2023-2025; sustituya por los valores de la empresa real.</t>
  </si>
  <si>
    <t>Balance General — IHP</t>
  </si>
  <si>
    <t>Cifras en USD miles. Celdas azules = inputs editables. Incluye chequeo automático de cuadre contable.</t>
  </si>
  <si>
    <t>ACTIVOS</t>
  </si>
  <si>
    <t>Caja y equivalentes</t>
  </si>
  <si>
    <t>Cuentas por cobrar comerciales, netas</t>
  </si>
  <si>
    <t>Inventarios</t>
  </si>
  <si>
    <t>Otros activos corrientes</t>
  </si>
  <si>
    <t>Total activos corrientes</t>
  </si>
  <si>
    <t>PP&amp;E neto (propiedad, planta y equipo)</t>
  </si>
  <si>
    <t>Otros activos no corrientes</t>
  </si>
  <si>
    <t>Total activos</t>
  </si>
  <si>
    <t>PASIVOS</t>
  </si>
  <si>
    <t>Cuentas por pagar a proveedores</t>
  </si>
  <si>
    <t>Deuda financiera de corto plazo</t>
  </si>
  <si>
    <t>Otros pasivos corrientes (nómina, tributos, contingencias)</t>
  </si>
  <si>
    <t>Total pasivos corrientes</t>
  </si>
  <si>
    <t>Deuda financiera de largo plazo</t>
  </si>
  <si>
    <t>Otros pasivos no corrientes</t>
  </si>
  <si>
    <t>Total pasivos</t>
  </si>
  <si>
    <t>PATRIMONIO</t>
  </si>
  <si>
    <t>Patrimonio</t>
  </si>
  <si>
    <t>Total pasivo y patrimonio</t>
  </si>
  <si>
    <t>Chequeo: Total activos - (Total pasivos + Patrimonio)</t>
  </si>
  <si>
    <t>Estado del cuadre contable</t>
  </si>
  <si>
    <t>Nota: si el chequeo no muestra 'Cuadrado', revise los inputs de activos, pasivos y patrimonio. Datos históricos de IHP tomados del caso de estudio 2023-2025; sustituya por los valores de la empresa real evaluada.</t>
  </si>
  <si>
    <t>Flujo de Efectivo (método simplificado) — IHP</t>
  </si>
  <si>
    <t>Cifras en USD miles. Celdas azules = inputs editables; celdas verdes traen datos de otras hojas.</t>
  </si>
  <si>
    <t>Saldo 2022 (referencia, no forma parte de 2023-2025): CxC neta / Inventarios / CxP</t>
  </si>
  <si>
    <t>CxC neta:</t>
  </si>
  <si>
    <t>Inventarios:</t>
  </si>
  <si>
    <t>CxP:</t>
  </si>
  <si>
    <t>Valores de referencia 2022 (USD miles)</t>
  </si>
  <si>
    <t>ACTIVIDADES OPERATIVAS</t>
  </si>
  <si>
    <t>Más: depreciación y amortización</t>
  </si>
  <si>
    <t>Menos: cambio en cuentas por cobrar (aumento resta)</t>
  </si>
  <si>
    <t>Menos: cambio en inventarios (aumento resta)</t>
  </si>
  <si>
    <t>Más: cambio en cuentas por pagar (aumento suma)</t>
  </si>
  <si>
    <t>Otros cambios en capital de trabajo y partidas de conciliación (fórmula de cierre)</t>
  </si>
  <si>
    <t>Flujo neto de actividades operativas</t>
  </si>
  <si>
    <t>ACTIVIDADES DE INVERSIÓN</t>
  </si>
  <si>
    <t>Capex de mantenimiento</t>
  </si>
  <si>
    <t>Capex de expansión (proyecto Beauty Cream)</t>
  </si>
  <si>
    <t>Flujo neto de actividades de inversión</t>
  </si>
  <si>
    <t>ACTIVIDADES DE FINANCIAMIENTO</t>
  </si>
  <si>
    <t>Deuda nueva / (amortización)</t>
  </si>
  <si>
    <t>Dividendos y retiros a accionistas</t>
  </si>
  <si>
    <t>Flujo neto de actividades de financiamiento</t>
  </si>
  <si>
    <t>Variación neta de caja</t>
  </si>
  <si>
    <t>Caja inicial</t>
  </si>
  <si>
    <t>Caja final (debe coincidir con BG_3Años)</t>
  </si>
  <si>
    <t>Chequeo vs. Balance General (diferencia)</t>
  </si>
  <si>
    <t>Nota: el flujo de caja usa el método simplificado (utilidad neta + partidas no monetarias +/- cambios en capital de trabajo). Los cambios en CxC, inventarios y CxP se calculan por diferencia entre balances consecutivos (BG_3Años); para 2023 se usa el saldo de cierre de 2022 (fila de referencia) como año previo, dado que no hay balance 2022 completo en esta plantilla. La fila 'Otros cambios en capital de trabajo y partidas de conciliación' es una fórmula de cierre que garantiza que la caja final calculada coincida exactamente con la caja reportada en BG_3Años; en el caso IHP recoge efectos no explícitos en el balance resumido (p. ej. movimientos brutos de cartera y provisión). Si sustituye los datos por otra empresa con estados financieros completos, esta fila debería tender a cero.</t>
  </si>
  <si>
    <t>Estructura de Crédito y Cobertura de Servicio de Deuda (DSCR) — IHP</t>
  </si>
  <si>
    <t>Cifras en USD miles salvo tasa y plazo. Celdas azules = inputs editables; negro = fórmulas; verde = vínculos entre hojas.</t>
  </si>
  <si>
    <t>Términos del crédito propuesto</t>
  </si>
  <si>
    <t>Monto del crédito (USD miles)</t>
  </si>
  <si>
    <t>Tasa de interés anual</t>
  </si>
  <si>
    <t>Plazo total (años)</t>
  </si>
  <si>
    <t>Año de desembolso</t>
  </si>
  <si>
    <t>Años de gracia de capital</t>
  </si>
  <si>
    <t>Amortización anual de capital 2027-2031 (USD miles)</t>
  </si>
  <si>
    <t>Servicio de deuda y DSCR proyectado (2026-2031)</t>
  </si>
  <si>
    <t>Concepto (USD miles, salvo DSCR en veces)</t>
  </si>
  <si>
    <t>Saldo de deuda al inicio del año</t>
  </si>
  <si>
    <t>Amortización de capital</t>
  </si>
  <si>
    <t>Saldo de deuda al cierre del año</t>
  </si>
  <si>
    <t>Intereses (sobre saldo promedio)</t>
  </si>
  <si>
    <t>Servicio total de deuda (interés + amortización)</t>
  </si>
  <si>
    <t>EBITDA / flujo de caja disponible para servicio de deuda</t>
  </si>
  <si>
    <t>DSCR (flujo disponible / servicio de deuda)</t>
  </si>
  <si>
    <t>Resumen de cobertura</t>
  </si>
  <si>
    <t>DSCR mínimo del período 2026-2031</t>
  </si>
  <si>
    <t>Semáforo del DSCR mínimo</t>
  </si>
  <si>
    <t>DSCR meta (línea de referencia)</t>
  </si>
  <si>
    <t>Serie auxiliar: DSCR meta (para gráfico)</t>
  </si>
  <si>
    <t>Indicadores Financieros — IHP</t>
  </si>
  <si>
    <t>Cifras en USD miles salvo ratios. Fórmulas vinculadas a ER_3Años, BG_3Años y Flujo_3Años. Semáforo: verde=aceptable, amarillo=alerta, rojo=revisión.</t>
  </si>
  <si>
    <t>Indicador</t>
  </si>
  <si>
    <t>Fórmula</t>
  </si>
  <si>
    <t>Umbral (verde / amarillo / rojo)</t>
  </si>
  <si>
    <t>Estado 2025</t>
  </si>
  <si>
    <t>LIQUIDEZ Y CAPITAL DE TRABAJO</t>
  </si>
  <si>
    <t>Razón corriente (veces)</t>
  </si>
  <si>
    <t>Activo corriente / Pasivo corriente</t>
  </si>
  <si>
    <t>Verde ≥1.50x; Amarillo 1.00-1.49x; Rojo &lt;1.00x</t>
  </si>
  <si>
    <t>Prueba ácida (veces)</t>
  </si>
  <si>
    <t>(Caja + CxC neta) / Pasivo corriente</t>
  </si>
  <si>
    <t>Verde ≥1.00x; Amarillo 0.75-0.99x; Rojo &lt;0.75x</t>
  </si>
  <si>
    <t>Capital de trabajo / Activos totales</t>
  </si>
  <si>
    <t>(Activo corriente - Pasivo corriente) / Activos totales</t>
  </si>
  <si>
    <t>Verde ≥20%; Amarillo 5%-19.9%; Rojo &lt;5%</t>
  </si>
  <si>
    <t>ENDEUDAMIENTO</t>
  </si>
  <si>
    <t>Deuda total / Patrimonio (veces)</t>
  </si>
  <si>
    <t>Total pasivos / Patrimonio</t>
  </si>
  <si>
    <t>Verde ≤1.50x; Amarillo &gt;1.50x-2.50x; Rojo &gt;2.50x</t>
  </si>
  <si>
    <t>Pasivo total / Activo total</t>
  </si>
  <si>
    <t>Total pasivos / Total activos</t>
  </si>
  <si>
    <t>Verde ≤60%; Amarillo &gt;60%-75%; Rojo &gt;75%</t>
  </si>
  <si>
    <t>Deuda financiera neta / EBITDA (veces)</t>
  </si>
  <si>
    <t>(Deuda financiera CP+LP - Caja) / EBITDA</t>
  </si>
  <si>
    <t>Verde ≤3.0x; Amarillo &gt;3.0x-4.0x; Rojo &gt;4.0x o EBITDA≤0</t>
  </si>
  <si>
    <t>RENTABILIDAD</t>
  </si>
  <si>
    <t>Margen bruto</t>
  </si>
  <si>
    <t>Utilidad bruta / Ventas</t>
  </si>
  <si>
    <t>Verde ≥25%; Amarillo 15%-24.9%; Rojo &lt;15%</t>
  </si>
  <si>
    <t>Margen EBIT</t>
  </si>
  <si>
    <t>EBIT / Ventas</t>
  </si>
  <si>
    <t>Verde ≥10%; Amarillo 5%-9.9%; Rojo &lt;5%</t>
  </si>
  <si>
    <t>Margen neto</t>
  </si>
  <si>
    <t>Utilidad neta / Ventas</t>
  </si>
  <si>
    <t>Verde ≥5%; Amarillo 1%-4.9%; Rojo &lt;1%</t>
  </si>
  <si>
    <t>ROA (retorno sobre activos)</t>
  </si>
  <si>
    <t>Utilidad neta / Activos totales</t>
  </si>
  <si>
    <t>ROE (retorno sobre patrimonio)</t>
  </si>
  <si>
    <t>Utilidad neta / Patrimonio</t>
  </si>
  <si>
    <t>Verde ≥10%; Amarillo 3%-9.9%; Rojo &lt;3%</t>
  </si>
  <si>
    <t>Rotación de activos (veces)</t>
  </si>
  <si>
    <t>Ventas / Activos totales</t>
  </si>
  <si>
    <t>Verde ≥1.0x; Amarillo 0.6x-0.99x; Rojo &lt;0.6x</t>
  </si>
  <si>
    <t>CICLO DE CONVERSIÓN DE EFECTIVO</t>
  </si>
  <si>
    <t>Rotación de inventarios (veces)</t>
  </si>
  <si>
    <t>COGS / Inventario promedio</t>
  </si>
  <si>
    <t>Referencial (ver Días de inventario)</t>
  </si>
  <si>
    <t>Días de inventario (DIO)</t>
  </si>
  <si>
    <t>365 / Rotación de inventarios</t>
  </si>
  <si>
    <t>Verde ≤90 días; Amarillo 91-120; Rojo &gt;120</t>
  </si>
  <si>
    <t>Rotación de cuentas por cobrar (veces)</t>
  </si>
  <si>
    <t>Ventas / CxC promedio</t>
  </si>
  <si>
    <t>Referencial (ver DSO)</t>
  </si>
  <si>
    <t>DSO (días de venta pendientes de cobro)</t>
  </si>
  <si>
    <t>365 / Rotación de CxC</t>
  </si>
  <si>
    <t>Verde ≤60 días; Amarillo 61-90; Rojo &gt;90</t>
  </si>
  <si>
    <t>Rotación de cuentas por pagar (veces)</t>
  </si>
  <si>
    <t>COGS / CxP promedio</t>
  </si>
  <si>
    <t>Referencial (ver DPO)</t>
  </si>
  <si>
    <t>DPO (días de pago a proveedores)</t>
  </si>
  <si>
    <t>365 / Rotación de CxP</t>
  </si>
  <si>
    <t>Verde 30-90 días; Amarillo 15-29 o 91-120; Rojo &lt;15 o &gt;120</t>
  </si>
  <si>
    <t>Ciclo de conversión de efectivo (días)</t>
  </si>
  <si>
    <t>DSO + Días inventario - DPO</t>
  </si>
  <si>
    <t>ANÁLISIS DUPONT</t>
  </si>
  <si>
    <t>Multiplicador de patrimonio (veces)</t>
  </si>
  <si>
    <t>Activos totales / Patrimonio</t>
  </si>
  <si>
    <t>Referencial</t>
  </si>
  <si>
    <t>Índice DuPont (ROE) = margen neto x rotación de activos x multiplicador</t>
  </si>
  <si>
    <t>Margen neto x Rotación de activos x Multiplicador de patrimonio</t>
  </si>
  <si>
    <t>Debe igualar al ROE calculado directamente</t>
  </si>
  <si>
    <t>Metodología de promedios: los indicadores de rotación e inventario/CxC/CxP usan el promedio entre el saldo del año y el del año anterior (inventario, cartera y cuentas por pagar promedio). Para 2023, al no existir un balance 2022 completo en esta plantilla, se utiliza el saldo de cierre de 2023 como alternativa documentada (en vez de un promedio). Sustituya esta alternativa por el promedio real si dispone del balance del año anterior. El índice DuPont (margen neto x rotación de activos x multiplicador de patrimonio) debe coincidir con el ROE calculado directamente arriba; ambos se muestran para fines de verificación cruzada.</t>
  </si>
  <si>
    <t>Modelo Altman Z-Score — IHP</t>
  </si>
  <si>
    <t>Z = 1.2·X1 + 1.4·X2 + 3.3·X3 + 0.6·X4 + 1.0·X5. Cifras en USD miles salvo ratios. Empresa privada: X4 usa aproximación (ver nota).</t>
  </si>
  <si>
    <t>Concepto</t>
  </si>
  <si>
    <t>Inputs específicos del modelo (empresa privada)</t>
  </si>
  <si>
    <t>Valor estimado del patrimonio (aprox. mercado)</t>
  </si>
  <si>
    <t>Utilidades retenidas estimadas</t>
  </si>
  <si>
    <t>Variables tomadas de otras hojas</t>
  </si>
  <si>
    <t>Activos corrientes</t>
  </si>
  <si>
    <t>Pasivos corrientes</t>
  </si>
  <si>
    <t>Capital de trabajo</t>
  </si>
  <si>
    <t>Activos totales</t>
  </si>
  <si>
    <t>EBIT</t>
  </si>
  <si>
    <t>Ventas</t>
  </si>
  <si>
    <t>Deuda total (total pasivos)</t>
  </si>
  <si>
    <t>Componentes del Z-Score</t>
  </si>
  <si>
    <t>X1 = Capital de trabajo / Activos totales</t>
  </si>
  <si>
    <t>X2 = Utilidades retenidas / Activos totales</t>
  </si>
  <si>
    <t>X3 = EBIT / Activos totales</t>
  </si>
  <si>
    <t>X4 = Valor de mercado del patrimonio / Deuda total</t>
  </si>
  <si>
    <t>X5 = Ventas / Activos totales</t>
  </si>
  <si>
    <t>Z-Score</t>
  </si>
  <si>
    <t>Clasificación</t>
  </si>
  <si>
    <t>Nota metodológica: IHP es una empresa privada sin cotización bursátil. X4 (valor de mercado del patrimonio/deuda total) usa una aproximación: el patrimonio contable como proxy conservador del valor de mercado del patrimonio, y el total de pasivos como deuda total. El valor estimado del patrimonio y las utilidades retenidas son inputs editables (celdas azules); en el caso IHP se precargan a partir del patrimonio contable de BG_3Años y de un capital social y reservas no distribuibles estimado en USD 2.000 miles (constante), consistente con el caso de estudio. Ajuste estos supuestos si dispone de una valoración independiente o de datos societarios reales. Clasificación: zona segura Z&gt;2.99; zona gris 1.81≤Z≤2.99; zona de angustia Z&lt;1.81. El resultado es una señal complementaria de solvencia patrimonial y no sustituye el análisis de flujo de caja, cartera, garantías ni riesgos cualitativos.</t>
  </si>
  <si>
    <t>Series auxiliares para gráfico (líneas de corte)</t>
  </si>
  <si>
    <t>Corte zona segura (2.99)</t>
  </si>
  <si>
    <t>Corte zona gris (1.81)</t>
  </si>
  <si>
    <t>Ubicación del año más reciente (2025) en la escala Altman Z-Score</t>
  </si>
  <si>
    <t>Z-Score 2025 (resultado destacado)</t>
  </si>
  <si>
    <t>Zona (fórmula automática)</t>
  </si>
  <si>
    <t>Segmento de escala</t>
  </si>
  <si>
    <t>Ancho</t>
  </si>
  <si>
    <t>Zona de angustia (&lt;1.81)</t>
  </si>
  <si>
    <t>Zona gris (1.81-2.99)</t>
  </si>
  <si>
    <t>Zona segura (&gt;2.99, tramo mostrado)</t>
  </si>
  <si>
    <t>Escala visual: zonas de clasificación Altman Z-Score (2025)</t>
  </si>
  <si>
    <t>La escala siguiente distingue las tres zonas por color y ubica automáticamente el Z-Score de 2025 (columna E) mediante fórmulas.</t>
  </si>
  <si>
    <t>Parámetros de la escala (fórmulas)</t>
  </si>
  <si>
    <t>Corte zona de angustia / gris (1.81)</t>
  </si>
  <si>
    <t>Corte zona gris / segura (2.99)</t>
  </si>
  <si>
    <t>Máximo mostrado en la escala</t>
  </si>
  <si>
    <t>Z-Score 2025 (posición a ubicar)</t>
  </si>
  <si>
    <t>0.00</t>
  </si>
  <si>
    <t>Angustia</t>
  </si>
  <si>
    <t>Gris</t>
  </si>
  <si>
    <t>Segura</t>
  </si>
  <si>
    <t>(&lt;1.81)</t>
  </si>
  <si>
    <t>(1.81-2.99)</t>
  </si>
  <si>
    <t>(&gt;2.99)</t>
  </si>
  <si>
    <t>La celda destacada y la escala visual anterior se actualizan automáticamente mediante fórmulas vinculadas al Z-Score de 2025 (columna E). El marcador ▲ y la etiqueta numérica se reposicionan solos si cambian los datos de entrada (patrimonio, utilidades retenidas u otras variables), ya que dependen de fórmulas ligadas a la celda de resultado y a los cortes de clasificación (C36, C37).</t>
  </si>
  <si>
    <t>Matriz de Decisión Crediticia — Rúbrica de Evaluación</t>
  </si>
  <si>
    <t>Pesos y criterios según la rúbrica del caso. Nivel de desempeño 1-4 (lista desplegable). Puntos = Peso x Nivel / 4.</t>
  </si>
  <si>
    <t>Criterio</t>
  </si>
  <si>
    <t>Peso</t>
  </si>
  <si>
    <t>Nivel (1-4)</t>
  </si>
  <si>
    <t>Cálculo</t>
  </si>
  <si>
    <t>Puntos</t>
  </si>
  <si>
    <t>Observaciones del analista (editable)</t>
  </si>
  <si>
    <t>Nota rápida de nivel</t>
  </si>
  <si>
    <t>Comprensión del negocio y riesgos sectoriales</t>
  </si>
  <si>
    <t>Análisis de desempeño histórico</t>
  </si>
  <si>
    <t>Liquidez, cartera y capital de trabajo</t>
  </si>
  <si>
    <t>Capacidad de pago y flujo de caja</t>
  </si>
  <si>
    <t>Evaluación del proyecto Beauty Cream</t>
  </si>
  <si>
    <t>Riesgos, estrés y clasificación crediticia</t>
  </si>
  <si>
    <t>Garantías, condiciones y covenants</t>
  </si>
  <si>
    <t>Incumplimiento y recuperación</t>
  </si>
  <si>
    <t>Decisión de crédito y estructura propuesta</t>
  </si>
  <si>
    <t>Comunicación, evidencia y defensa</t>
  </si>
  <si>
    <t>TOTAL</t>
  </si>
  <si>
    <t>Calificación final y banda de desempeño</t>
  </si>
  <si>
    <t>Puntuación total / 100</t>
  </si>
  <si>
    <t>Banda de desempeño</t>
  </si>
  <si>
    <t>Referencia de bandas: 90-100 Sobresaliente; 80-89 Muy competente; 70-79 Competente; 60-69 En desarrollo; &lt;60 Insuficiente</t>
  </si>
  <si>
    <t>Decisión crediticia sugerida</t>
  </si>
  <si>
    <t>Decisión (editable por el analista)</t>
  </si>
  <si>
    <t>Aprobar condicionado</t>
  </si>
  <si>
    <t>Interpretación automática</t>
  </si>
  <si>
    <t>Tabla de referencia: descriptores generales de la rúbrica (niveles 4, 3, 2, 1)</t>
  </si>
  <si>
    <t>Nivel 4: Sobresaliente</t>
  </si>
  <si>
    <t>Nivel 3: Competente</t>
  </si>
  <si>
    <t>Nivel 2: En desarrollo</t>
  </si>
  <si>
    <t>Nivel 1: Insuficiente</t>
  </si>
  <si>
    <t>Relaciona modelo de negocio, segmentos C-D-E, competencia, dependencia de importaciones, cobertura geográfica, riesgo laboral y Beauty Cream con la decisión crediticia</t>
  </si>
  <si>
    <t>Identifica la mayoría de los riesgos de negocio y explica su efecto general</t>
  </si>
  <si>
    <t>Menciona riesgos sin priorizarlos o sin vincularlos con capacidad de pago</t>
  </si>
  <si>
    <t>Describe la empresa de forma superficial o ignora riesgos sectoriales relevantes</t>
  </si>
  <si>
    <t>Analiza tendencia 2021-2025 de ventas, márgenes, EBIT, utilidad neta, gastos, provisiones y distribuciones; explica causas y efectos en el riesgo</t>
  </si>
  <si>
    <t>Calcula e interpreta la mayoría de las tendencias principales</t>
  </si>
  <si>
    <t>Presenta algunas cifras, pero con análisis limitado o errores menores</t>
  </si>
  <si>
    <t>Se limita a copiar cifras o llega a conclusiones no sustentadas</t>
  </si>
  <si>
    <t>Diferencia liquidez contable de liquidez realizable; analiza razón corriente, DSO, inventarios, días de pago, ciclo de caja y cartera vencida; ajusta cartera por recuperabilidad</t>
  </si>
  <si>
    <t>Identifica el deterioro del ciclo de caja y la concentración de cartera, con ajustes razonables</t>
  </si>
  <si>
    <t>Reconoce que la cartera es riesgosa, pero no cuantifica su efecto en caja o liquidez</t>
  </si>
  <si>
    <t>Considera la razón corriente como evidencia suficiente de solvencia o ignora cartera vencida</t>
  </si>
  <si>
    <t>Reconstruye flujo disponible, DSCR, servicio de deuda y necesidades de capital de trabajo; incorpora impuestos, mantenimiento, intereses y sensibilidades</t>
  </si>
  <si>
    <t>Calcula o interpreta correctamente DSCR y flujo de caja, aunque con menor profundidad en supuestos</t>
  </si>
  <si>
    <t>Usa utilidad neta como indicador principal sin convertirla adecuadamente en caja</t>
  </si>
  <si>
    <t>No analiza flujo de caja ni cobertura de deuda</t>
  </si>
  <si>
    <t>Separa operación tradicional y nueva línea; analiza ingresos, márgenes, costos de lanzamiento, permisos, competencia, cronograma y riesgo de ejecución</t>
  </si>
  <si>
    <t>Evalúa razonablemente las premisas comerciales y financieras del proyecto</t>
  </si>
  <si>
    <t>Acepta o rechaza proyecciones sin contrastar supuestos relevantes</t>
  </si>
  <si>
    <t>Ignora que una parte importante del crecimiento depende de Beauty Cream</t>
  </si>
  <si>
    <t>Prioriza riesgos de negocio, contraparte, mercado, operación, laboral, legal y ejecución; cuantifica o explica el escenario de estrés y sus consecuencias sobre DSCR y liquidez</t>
  </si>
  <si>
    <t>Identifica riesgos principales y propone una prueba de estrés razonable</t>
  </si>
  <si>
    <t>Enumera riesgos sin priorización, métricas o consecuencias claras</t>
  </si>
  <si>
    <t>Omite riesgos críticos o sostiene que la garantía elimina el riesgo</t>
  </si>
  <si>
    <t>Diseña garantías diversificadas y verificables; distingue valor contable y de realización; propone condiciones precedentes, aporte propio, covenants, cuenta controlada, seguros y monitoreo</t>
  </si>
  <si>
    <t>Propone un paquete de garantías y covenants pertinente, aunque con menor detalle de perfeccionamiento</t>
  </si>
  <si>
    <t>Sugiere garantías genéricas sin considerar registro, valor de liquidación o calidad de activos</t>
  </si>
  <si>
    <t>Confía exclusivamente en activos depreciados o no plantea controles de riesgo</t>
  </si>
  <si>
    <t>Distingue alerta temprana, cura, vencimiento anticipado, cobranza, preservación de evidencia y ejecución de garantías; adapta el proceso al tipo de garantía</t>
  </si>
  <si>
    <t>Propone un procedimiento lógico de actuación ante incumplimiento</t>
  </si>
  <si>
    <t>Menciona acciones de cobro sin secuencia o sin diferenciar garantías</t>
  </si>
  <si>
    <t>No considera recuperación, cumplimiento ni ejecución</t>
  </si>
  <si>
    <t>Emite una decisión inequívoca y justificada; define monto, plazo, gracia, amortización, desembolsos por hitos y condiciones de aprobación o rechazo</t>
  </si>
  <si>
    <t>Presenta decisión y estructura mayormente coherentes con el análisis</t>
  </si>
  <si>
    <t>La decisión es ambigua o no corresponde con los hallazgos</t>
  </si>
  <si>
    <t>La recomendación no tiene justificación ni estructura financiera</t>
  </si>
  <si>
    <t>Presenta informe claro, profesional, consistente, con cálculos verificables, supuestos explícitos y capacidad de responder objeciones del comité</t>
  </si>
  <si>
    <t>Presenta evidencia suficiente y comunica con claridad general</t>
  </si>
  <si>
    <t>El informe es desordenado, con supuestos implícitos o cálculos difíciles de verificar</t>
  </si>
  <si>
    <t>La presentación carece de evidencia, orden o coherencia</t>
  </si>
  <si>
    <t>Guía de Rangos e Interpretación de Indicadores</t>
  </si>
  <si>
    <t>Umbrales orientativos para manufactura; ajustar por sector, moneda, estacionalidad y proyecto. Alineados con el formato condicional de 'Indicadores', 'Crédito_DSCR' y 'Altman_Z'.</t>
  </si>
  <si>
    <t>Aclaraciones generales</t>
  </si>
  <si>
    <t>Los umbrales de esta guía son orientativos para empresas manufactureras y pueden variar según moneda, sector, estacionalidad y naturaleza del proyecto financiado. En el caso de Industrias de Higiene Popular (IHP), la empresa depende de insumos importados pagados de contado y vende una parte relevante a crédito con cobranza lenta; por ello, el DSO, el ciclo de conversión de efectivo y el DSCR son particularmente relevantes para la decisión de crédito y deben analizarse con mayor rigor que en un caso genérico.</t>
  </si>
  <si>
    <t>Fórmula / definición breve</t>
  </si>
  <si>
    <t>Verde: Aceptable</t>
  </si>
  <si>
    <t>Amarillo: Alerta</t>
  </si>
  <si>
    <t>Rojo: Revisión</t>
  </si>
  <si>
    <t>Observación</t>
  </si>
  <si>
    <t>Razón corriente</t>
  </si>
  <si>
    <t>≥1.50x</t>
  </si>
  <si>
    <t>1.00x - 1.49x</t>
  </si>
  <si>
    <t>&lt;1.00x</t>
  </si>
  <si>
    <t>Liquidez contable general</t>
  </si>
  <si>
    <t>Prueba ácida</t>
  </si>
  <si>
    <t>≥1.00x</t>
  </si>
  <si>
    <t>0.75x - 0.99x</t>
  </si>
  <si>
    <t>&lt;0.75x</t>
  </si>
  <si>
    <t>Excluye inventarios</t>
  </si>
  <si>
    <t>Capital de trabajo / Activos</t>
  </si>
  <si>
    <t>≥20%</t>
  </si>
  <si>
    <t>5% - 19.9%</t>
  </si>
  <si>
    <t>&lt;5%</t>
  </si>
  <si>
    <t>Holgura de capital de trabajo</t>
  </si>
  <si>
    <t>Deuda total / Patrimonio</t>
  </si>
  <si>
    <t>≤1.50x</t>
  </si>
  <si>
    <t>&gt;1.50x - 2.50x</t>
  </si>
  <si>
    <t>&gt;2.50x</t>
  </si>
  <si>
    <t>Apalancamiento total</t>
  </si>
  <si>
    <t>≤60%</t>
  </si>
  <si>
    <t>&gt;60% - 75%</t>
  </si>
  <si>
    <t>&gt;75%</t>
  </si>
  <si>
    <t>Proporción de activos financiada con deuda</t>
  </si>
  <si>
    <t>Deuda financiera neta / EBITDA</t>
  </si>
  <si>
    <t>(Deuda financiera - Caja) / EBITDA</t>
  </si>
  <si>
    <t>≤3.0x</t>
  </si>
  <si>
    <t>&gt;3.0x - 4.0x</t>
  </si>
  <si>
    <t>&gt;4.0x o EBITDA≤0</t>
  </si>
  <si>
    <t>Cobertura de apalancamiento financiero</t>
  </si>
  <si>
    <t>≥25%</t>
  </si>
  <si>
    <t>15% - 24.9%</t>
  </si>
  <si>
    <t>&lt;15%</t>
  </si>
  <si>
    <t>Rentabilidad antes de gastos operativos</t>
  </si>
  <si>
    <t>≥10%</t>
  </si>
  <si>
    <t>5% - 9.9%</t>
  </si>
  <si>
    <t>Rentabilidad operativa</t>
  </si>
  <si>
    <t>≥5%</t>
  </si>
  <si>
    <t>1% - 4.9%</t>
  </si>
  <si>
    <t>&lt;1%</t>
  </si>
  <si>
    <t>Rentabilidad final</t>
  </si>
  <si>
    <t>ROA</t>
  </si>
  <si>
    <t>Eficiencia en el uso de activos</t>
  </si>
  <si>
    <t>ROE</t>
  </si>
  <si>
    <t>3% - 9.9%</t>
  </si>
  <si>
    <t>&lt;3%</t>
  </si>
  <si>
    <t>Retorno para los accionistas</t>
  </si>
  <si>
    <t>Rotación de activos</t>
  </si>
  <si>
    <t>≥1.0x</t>
  </si>
  <si>
    <t>0.6x - 0.99x</t>
  </si>
  <si>
    <t>&lt;0.6x</t>
  </si>
  <si>
    <t>Eficiencia de generación de ventas por activo</t>
  </si>
  <si>
    <t>365 / (COGS / Inventario promedio)</t>
  </si>
  <si>
    <t>≤90 días</t>
  </si>
  <si>
    <t>91 - 120 días</t>
  </si>
  <si>
    <t>&gt;120 días</t>
  </si>
  <si>
    <t>Velocidad de rotación de inventario</t>
  </si>
  <si>
    <t>DSO</t>
  </si>
  <si>
    <t>365 / (Ventas / CxC promedio)</t>
  </si>
  <si>
    <t>≤60 días</t>
  </si>
  <si>
    <t>61 - 90 días</t>
  </si>
  <si>
    <t>&gt;90 días</t>
  </si>
  <si>
    <t>Días promedio de cobro; crítico en IHP por venta a crédito</t>
  </si>
  <si>
    <t>DPO</t>
  </si>
  <si>
    <t>365 / (COGS / CxP promedio)</t>
  </si>
  <si>
    <t>30 - 90 días</t>
  </si>
  <si>
    <t>15-29 o 91-120 días</t>
  </si>
  <si>
    <t>&lt;15 o &gt;120 días</t>
  </si>
  <si>
    <t>Interpretar contra términos negociados; DPO muy bajo presiona caja (relevante en IHP por pago de contado a proveedores)</t>
  </si>
  <si>
    <t>Ciclo de conversión de efectivo</t>
  </si>
  <si>
    <t>Días de caja inmovilizada en el ciclo operativo; muy relevante en IHP</t>
  </si>
  <si>
    <t>DSCR</t>
  </si>
  <si>
    <t>Flujo disponible / Servicio de deuda anual</t>
  </si>
  <si>
    <t>≥1.25x</t>
  </si>
  <si>
    <t>1.10x - 1.24x</t>
  </si>
  <si>
    <t>&lt;1.10x</t>
  </si>
  <si>
    <t>Cobertura de servicio de deuda; ver hoja Crédito_DSCR</t>
  </si>
  <si>
    <t>Altman Z-Score</t>
  </si>
  <si>
    <t>1.2X1+1.4X2+3.3X3+0.6X4+1.0X5</t>
  </si>
  <si>
    <t>&gt;2.99 (zona segura)</t>
  </si>
  <si>
    <t>1.81 - 2.99 (zona gris)</t>
  </si>
  <si>
    <t>&lt;1.81 (zona de angustia)</t>
  </si>
  <si>
    <t>Ver hoja Altman_Z; aproximación para empresa no cotizada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</si>
</sst>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0.00\);\-"/>
    <numFmt numFmtId="166" formatCode="0.0%"/>
    <numFmt numFmtId="167" formatCode="0.00\x"/>
    <numFmt numFmtId="168" formatCode="0.00\x;;"/>
    <numFmt numFmtId="169" formatCode="0.0"/>
    <numFmt numFmtId="170" formatCode="0.0000"/>
  </numFmts>
  <fonts count="36" x14ac:knownFonts="1">
    <font>
      <sz val="11"/>
      <color theme="1"/>
      <name val="Calibri"/>
      <family val="2"/>
      <charset val="1"/>
    </font>
    <font>
      <b/>
      <sz val="16"/>
      <color rgb="FFFFFFFF"/>
      <name val="Calibri"/>
      <charset val="1"/>
    </font>
    <font>
      <i/>
      <sz val="10"/>
      <color rgb="FF4A4A4A"/>
      <name val="Calibri"/>
      <charset val="1"/>
    </font>
    <font>
      <b/>
      <sz val="12"/>
      <color rgb="FF1B474D"/>
      <name val="Calibri"/>
      <charset val="1"/>
    </font>
    <font>
      <sz val="10"/>
      <color rgb="FF000000"/>
      <name val="Calibri"/>
      <charset val="1"/>
    </font>
    <font>
      <b/>
      <sz val="10"/>
      <color rgb="FF1B474D"/>
      <name val="Calibri"/>
      <charset val="1"/>
    </font>
    <font>
      <b/>
      <sz val="10"/>
      <color rgb="FF006100"/>
      <name val="Calibri"/>
      <charset val="1"/>
    </font>
    <font>
      <b/>
      <sz val="10"/>
      <color rgb="FF9C6500"/>
      <name val="Calibri"/>
      <charset val="1"/>
    </font>
    <font>
      <b/>
      <sz val="10"/>
      <color rgb="FF9C0006"/>
      <name val="Calibri"/>
      <charset val="1"/>
    </font>
    <font>
      <b/>
      <sz val="10"/>
      <color rgb="FF0000FF"/>
      <name val="Calibri"/>
      <charset val="1"/>
    </font>
    <font>
      <b/>
      <sz val="10"/>
      <color rgb="FF000000"/>
      <name val="Calibri"/>
      <charset val="1"/>
    </font>
    <font>
      <b/>
      <sz val="10"/>
      <color rgb="FF008000"/>
      <name val="Calibri"/>
      <charset val="1"/>
    </font>
    <font>
      <i/>
      <sz val="10"/>
      <color rgb="FF000000"/>
      <name val="Calibri"/>
      <charset val="1"/>
    </font>
    <font>
      <b/>
      <sz val="11"/>
      <color rgb="FFFFFFFF"/>
      <name val="Calibri"/>
      <charset val="1"/>
    </font>
    <font>
      <sz val="10"/>
      <color rgb="FF0000FF"/>
      <name val="Calibri"/>
      <charset val="1"/>
    </font>
    <font>
      <i/>
      <sz val="9"/>
      <color rgb="FF4A4A4A"/>
      <name val="Calibri"/>
      <charset val="1"/>
    </font>
    <font>
      <i/>
      <sz val="9"/>
      <color rgb="FF000000"/>
      <name val="Calibri"/>
      <charset val="1"/>
    </font>
    <font>
      <sz val="10"/>
      <color rgb="FF008000"/>
      <name val="Calibri"/>
      <charset val="1"/>
    </font>
    <font>
      <sz val="9"/>
      <color rgb="FF000000"/>
      <name val="Calibri"/>
      <charset val="1"/>
    </font>
    <font>
      <b/>
      <sz val="10"/>
      <color rgb="FFFFFFFF"/>
      <name val="Calibri"/>
      <charset val="1"/>
    </font>
    <font>
      <b/>
      <sz val="9"/>
      <color rgb="FF000000"/>
      <name val="Calibri"/>
      <charset val="1"/>
    </font>
    <font>
      <b/>
      <sz val="11"/>
      <color rgb="FF000000"/>
      <name val="Calibri"/>
      <charset val="1"/>
    </font>
    <font>
      <b/>
      <sz val="16"/>
      <color rgb="FF000000"/>
      <name val="Calibri"/>
      <charset val="1"/>
    </font>
    <font>
      <b/>
      <sz val="14"/>
      <color rgb="FF000000"/>
      <name val="Calibri"/>
      <charset val="1"/>
    </font>
    <font>
      <b/>
      <sz val="9"/>
      <color rgb="FFFFFFFF"/>
      <name val="Calibri"/>
      <charset val="1"/>
    </font>
    <font>
      <i/>
      <sz val="9"/>
      <color rgb="FF7A7974"/>
      <name val="Calibri"/>
      <charset val="1"/>
    </font>
    <font>
      <b/>
      <sz val="10"/>
      <name val="Calibri"/>
      <charset val="1"/>
    </font>
    <font>
      <sz val="10"/>
      <name val="Calibri"/>
      <charset val="1"/>
    </font>
    <font>
      <sz val="1"/>
      <color rgb="FFFFFFFF"/>
      <name val="Calibri"/>
      <charset val="1"/>
    </font>
    <font>
      <b/>
      <sz val="8"/>
      <color rgb="FF1B474D"/>
      <name val="Calibri"/>
      <charset val="1"/>
    </font>
    <font>
      <sz val="8"/>
      <name val="Calibri"/>
      <charset val="1"/>
    </font>
    <font>
      <b/>
      <sz val="7"/>
      <name val="Calibri"/>
      <charset val="1"/>
    </font>
    <font>
      <i/>
      <sz val="7"/>
      <color rgb="FF7A7974"/>
      <name val="Calibri"/>
      <charset val="1"/>
    </font>
    <font>
      <b/>
      <sz val="11"/>
      <color rgb="FF1B474D"/>
      <name val="Calibri"/>
      <charset val="1"/>
    </font>
    <font>
      <b/>
      <sz val="12"/>
      <color rgb="FF000000"/>
      <name val="Calibri"/>
      <charset val="1"/>
    </font>
    <font>
      <sz val="8"/>
      <color rgb="FF000000"/>
      <name val="Calibri"/>
      <charset val="1"/>
    </font>
  </fonts>
  <fills count="10">
    <fill>
      <patternFill patternType="none"/>
    </fill>
    <fill>
      <patternFill patternType="gray125"/>
    </fill>
    <fill>
      <patternFill patternType="solid">
        <fgColor rgb="FF1B474D"/>
        <bgColor rgb="FF003366"/>
      </patternFill>
    </fill>
    <fill>
      <patternFill patternType="solid">
        <fgColor rgb="FFC6EFCE"/>
        <bgColor rgb="FFBCE2E7"/>
      </patternFill>
    </fill>
    <fill>
      <patternFill patternType="solid">
        <fgColor rgb="FFFFEB9C"/>
        <bgColor rgb="FFF7F6F2"/>
      </patternFill>
    </fill>
    <fill>
      <patternFill patternType="solid">
        <fgColor rgb="FFFFC7CE"/>
        <bgColor rgb="FFD4D1CA"/>
      </patternFill>
    </fill>
    <fill>
      <patternFill patternType="solid">
        <fgColor rgb="FF20808D"/>
        <bgColor rgb="FF008080"/>
      </patternFill>
    </fill>
    <fill>
      <patternFill patternType="solid">
        <fgColor rgb="FFF7F6F2"/>
        <bgColor rgb="FFF9F9F9"/>
      </patternFill>
    </fill>
    <fill>
      <patternFill patternType="solid">
        <fgColor rgb="FFBCE2E7"/>
        <bgColor rgb="FFC6EFCE"/>
      </patternFill>
    </fill>
    <fill>
      <patternFill patternType="solid">
        <fgColor rgb="FFEAF3F4"/>
        <bgColor rgb="FFF7F6F2"/>
      </patternFill>
    </fill>
  </fills>
  <borders count="3">
    <border>
      <left/>
      <right/>
      <top/>
      <bottom/>
      <diagonal/>
    </border>
    <border>
      <left style="thin">
        <color rgb="FFD4D1CA"/>
      </left>
      <right style="thin">
        <color rgb="FFD4D1CA"/>
      </right>
      <top style="thin">
        <color rgb="FFD4D1CA"/>
      </top>
      <bottom style="thin">
        <color rgb="FFD4D1CA"/>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9">
    <xf numFmtId="0" fontId="0" fillId="0" borderId="0" xfId="0"/>
    <xf numFmtId="0" fontId="5" fillId="8" borderId="0" xfId="0" applyFont="1" applyFill="1" applyProtection="1">
      <protection locked="0"/>
    </xf>
    <xf numFmtId="0" fontId="15" fillId="0" borderId="0" xfId="0" applyFont="1" applyAlignment="1" applyProtection="1">
      <alignment horizontal="left" vertical="center" wrapText="1"/>
      <protection locked="0"/>
    </xf>
    <xf numFmtId="0" fontId="12" fillId="0" borderId="0" xfId="0" applyFont="1" applyAlignment="1" applyProtection="1">
      <alignment horizontal="left" vertical="center" wrapText="1"/>
      <protection locked="0"/>
    </xf>
    <xf numFmtId="0" fontId="11" fillId="0" borderId="0" xfId="0" applyFont="1" applyProtection="1">
      <protection locked="0"/>
    </xf>
    <xf numFmtId="0" fontId="10" fillId="0" borderId="0" xfId="0" applyFont="1" applyProtection="1">
      <protection locked="0"/>
    </xf>
    <xf numFmtId="0" fontId="9" fillId="0" borderId="0" xfId="0" applyFont="1" applyProtection="1">
      <protection locked="0"/>
    </xf>
    <xf numFmtId="0" fontId="8" fillId="5" borderId="0" xfId="0" applyFont="1" applyFill="1" applyAlignment="1" applyProtection="1">
      <alignment horizontal="left" vertical="center" wrapText="1"/>
      <protection locked="0"/>
    </xf>
    <xf numFmtId="0" fontId="7" fillId="4" borderId="0" xfId="0" applyFont="1" applyFill="1" applyAlignment="1" applyProtection="1">
      <alignment horizontal="left" vertical="center" wrapText="1"/>
      <protection locked="0"/>
    </xf>
    <xf numFmtId="0" fontId="6" fillId="3" borderId="0" xfId="0" applyFont="1" applyFill="1" applyAlignment="1" applyProtection="1">
      <alignment horizontal="left" vertical="center" wrapText="1"/>
      <protection locked="0"/>
    </xf>
    <xf numFmtId="0" fontId="5" fillId="0" borderId="0" xfId="0" applyFont="1" applyProtection="1">
      <protection locked="0"/>
    </xf>
    <xf numFmtId="0" fontId="4" fillId="0" borderId="0" xfId="0" applyFont="1" applyAlignment="1" applyProtection="1">
      <alignment horizontal="left" vertical="center" wrapText="1"/>
      <protection locked="0"/>
    </xf>
    <xf numFmtId="0" fontId="3" fillId="0" borderId="0" xfId="0" applyFont="1" applyProtection="1">
      <protection locked="0"/>
    </xf>
    <xf numFmtId="0" fontId="2" fillId="0" borderId="0" xfId="0" applyFont="1" applyAlignment="1" applyProtection="1">
      <alignment horizontal="left" vertical="center" indent="1"/>
      <protection locked="0"/>
    </xf>
    <xf numFmtId="0" fontId="1" fillId="2" borderId="0" xfId="0" applyFont="1" applyFill="1" applyAlignment="1" applyProtection="1">
      <alignment horizontal="left" vertical="center" indent="1"/>
      <protection locked="0"/>
    </xf>
    <xf numFmtId="0" fontId="0" fillId="0" borderId="0" xfId="0" applyProtection="1">
      <protection locked="0"/>
    </xf>
    <xf numFmtId="0" fontId="4" fillId="0" borderId="0" xfId="0" applyFont="1" applyAlignment="1" applyProtection="1">
      <alignment horizontal="left" vertical="center" wrapText="1"/>
      <protection locked="0"/>
    </xf>
    <xf numFmtId="0" fontId="10" fillId="0" borderId="0" xfId="0" applyFont="1" applyProtection="1">
      <protection locked="0"/>
    </xf>
    <xf numFmtId="0" fontId="13" fillId="6" borderId="1" xfId="0" applyFont="1" applyFill="1" applyBorder="1" applyAlignment="1" applyProtection="1">
      <alignment horizontal="center" vertical="center" wrapText="1"/>
      <protection locked="0"/>
    </xf>
    <xf numFmtId="164" fontId="14" fillId="0" borderId="1" xfId="0" applyNumberFormat="1" applyFont="1" applyBorder="1" applyProtection="1">
      <protection locked="0"/>
    </xf>
    <xf numFmtId="0" fontId="10" fillId="0" borderId="0" xfId="0" applyFont="1" applyAlignment="1" applyProtection="1">
      <alignment horizontal="left" vertical="center" wrapText="1"/>
      <protection locked="0"/>
    </xf>
    <xf numFmtId="164" fontId="10" fillId="7" borderId="1" xfId="0" applyNumberFormat="1" applyFont="1" applyFill="1" applyBorder="1" applyProtection="1">
      <protection locked="0"/>
    </xf>
    <xf numFmtId="164" fontId="10" fillId="8" borderId="1" xfId="0" applyNumberFormat="1" applyFont="1" applyFill="1" applyBorder="1" applyProtection="1">
      <protection locked="0"/>
    </xf>
    <xf numFmtId="165" fontId="10" fillId="0" borderId="1" xfId="0" applyNumberFormat="1" applyFont="1" applyBorder="1" applyProtection="1">
      <protection locked="0"/>
    </xf>
    <xf numFmtId="0" fontId="10" fillId="0" borderId="1" xfId="0" applyFont="1" applyBorder="1" applyAlignment="1" applyProtection="1">
      <alignment horizontal="center" vertical="center" wrapText="1"/>
      <protection locked="0"/>
    </xf>
    <xf numFmtId="0" fontId="16" fillId="0" borderId="0" xfId="0" applyFont="1" applyProtection="1">
      <protection locked="0"/>
    </xf>
    <xf numFmtId="3" fontId="14" fillId="0" borderId="1" xfId="0" applyNumberFormat="1" applyFont="1" applyBorder="1" applyProtection="1">
      <protection locked="0"/>
    </xf>
    <xf numFmtId="164" fontId="17" fillId="0" borderId="1" xfId="0" applyNumberFormat="1" applyFont="1" applyBorder="1" applyProtection="1">
      <protection locked="0"/>
    </xf>
    <xf numFmtId="164" fontId="12" fillId="0" borderId="1" xfId="0" applyNumberFormat="1" applyFont="1" applyBorder="1" applyProtection="1">
      <protection locked="0"/>
    </xf>
    <xf numFmtId="165" fontId="4" fillId="0" borderId="1" xfId="0" applyNumberFormat="1" applyFont="1" applyBorder="1" applyProtection="1">
      <protection locked="0"/>
    </xf>
    <xf numFmtId="0" fontId="4" fillId="0" borderId="0" xfId="0" applyFont="1" applyProtection="1">
      <protection locked="0"/>
    </xf>
    <xf numFmtId="166" fontId="14" fillId="0" borderId="1" xfId="0" applyNumberFormat="1" applyFont="1" applyBorder="1" applyProtection="1">
      <protection locked="0"/>
    </xf>
    <xf numFmtId="1" fontId="14" fillId="0" borderId="1" xfId="0" applyNumberFormat="1" applyFont="1" applyBorder="1" applyProtection="1">
      <protection locked="0"/>
    </xf>
    <xf numFmtId="164" fontId="4" fillId="0" borderId="1" xfId="0" applyNumberFormat="1" applyFont="1" applyBorder="1" applyProtection="1">
      <protection locked="0"/>
    </xf>
    <xf numFmtId="167" fontId="10" fillId="8" borderId="1" xfId="0" applyNumberFormat="1" applyFont="1" applyFill="1" applyBorder="1" applyProtection="1">
      <protection locked="0"/>
    </xf>
    <xf numFmtId="167" fontId="10" fillId="0" borderId="1" xfId="0" applyNumberFormat="1" applyFont="1" applyBorder="1" applyProtection="1">
      <protection locked="0"/>
    </xf>
    <xf numFmtId="0" fontId="10" fillId="0" borderId="1" xfId="0" applyFont="1" applyBorder="1" applyProtection="1">
      <protection locked="0"/>
    </xf>
    <xf numFmtId="167" fontId="14" fillId="0" borderId="1" xfId="0" applyNumberFormat="1" applyFont="1" applyBorder="1" applyProtection="1">
      <protection locked="0"/>
    </xf>
    <xf numFmtId="0" fontId="15" fillId="0" borderId="0" xfId="0" applyFont="1"/>
    <xf numFmtId="167" fontId="18" fillId="0" borderId="0" xfId="0" applyNumberFormat="1" applyFont="1"/>
    <xf numFmtId="0" fontId="19" fillId="6" borderId="1" xfId="0" applyFont="1" applyFill="1" applyBorder="1" applyAlignment="1" applyProtection="1">
      <alignment horizontal="center" vertical="center" wrapText="1"/>
      <protection locked="0"/>
    </xf>
    <xf numFmtId="167" fontId="17" fillId="0" borderId="1" xfId="0" applyNumberFormat="1" applyFont="1" applyBorder="1" applyProtection="1">
      <protection locked="0"/>
    </xf>
    <xf numFmtId="0" fontId="18" fillId="0" borderId="0" xfId="0" applyFont="1" applyAlignment="1" applyProtection="1">
      <alignment horizontal="left" vertical="center" wrapText="1"/>
      <protection locked="0"/>
    </xf>
    <xf numFmtId="0" fontId="20" fillId="0" borderId="1" xfId="0" applyFont="1" applyBorder="1" applyAlignment="1" applyProtection="1">
      <alignment horizontal="center" vertical="center" wrapText="1"/>
      <protection locked="0"/>
    </xf>
    <xf numFmtId="166" fontId="17" fillId="0" borderId="1" xfId="0" applyNumberFormat="1" applyFont="1" applyBorder="1" applyProtection="1">
      <protection locked="0"/>
    </xf>
    <xf numFmtId="168" fontId="17" fillId="0" borderId="1" xfId="0" applyNumberFormat="1" applyFont="1" applyBorder="1" applyProtection="1">
      <protection locked="0"/>
    </xf>
    <xf numFmtId="169" fontId="17" fillId="0" borderId="1" xfId="0" applyNumberFormat="1" applyFont="1" applyBorder="1" applyProtection="1">
      <protection locked="0"/>
    </xf>
    <xf numFmtId="169" fontId="10" fillId="7" borderId="1" xfId="0" applyNumberFormat="1" applyFont="1" applyFill="1" applyBorder="1" applyProtection="1">
      <protection locked="0"/>
    </xf>
    <xf numFmtId="166" fontId="10" fillId="7" borderId="1" xfId="0" applyNumberFormat="1" applyFont="1" applyFill="1" applyBorder="1" applyProtection="1">
      <protection locked="0"/>
    </xf>
    <xf numFmtId="170" fontId="4" fillId="0" borderId="1" xfId="0" applyNumberFormat="1" applyFont="1" applyBorder="1" applyProtection="1">
      <protection locked="0"/>
    </xf>
    <xf numFmtId="2" fontId="10" fillId="8" borderId="1" xfId="0" applyNumberFormat="1" applyFont="1" applyFill="1" applyBorder="1" applyProtection="1">
      <protection locked="0"/>
    </xf>
    <xf numFmtId="0" fontId="15" fillId="0" borderId="0" xfId="0" applyFont="1" applyProtection="1">
      <protection locked="0"/>
    </xf>
    <xf numFmtId="2" fontId="18" fillId="0" borderId="0" xfId="0" applyNumberFormat="1" applyFont="1" applyProtection="1">
      <protection locked="0"/>
    </xf>
    <xf numFmtId="0" fontId="21" fillId="0" borderId="0" xfId="0" applyFont="1" applyProtection="1">
      <protection locked="0"/>
    </xf>
    <xf numFmtId="0" fontId="24" fillId="8" borderId="0" xfId="0" applyFont="1" applyFill="1" applyProtection="1">
      <protection locked="0"/>
    </xf>
    <xf numFmtId="2" fontId="0" fillId="0" borderId="0" xfId="0" applyNumberFormat="1" applyProtection="1">
      <protection locked="0"/>
    </xf>
    <xf numFmtId="0" fontId="26" fillId="0" borderId="0" xfId="0" applyFont="1" applyProtection="1">
      <protection locked="0"/>
    </xf>
    <xf numFmtId="0" fontId="27" fillId="0" borderId="0" xfId="0" applyFont="1" applyProtection="1">
      <protection locked="0"/>
    </xf>
    <xf numFmtId="2" fontId="27" fillId="0" borderId="0" xfId="0" applyNumberFormat="1" applyFont="1" applyProtection="1">
      <protection locked="0"/>
    </xf>
    <xf numFmtId="0" fontId="25" fillId="0" borderId="0" xfId="0" applyFont="1" applyAlignment="1" applyProtection="1">
      <alignment horizontal="left"/>
      <protection locked="0"/>
    </xf>
    <xf numFmtId="0" fontId="25" fillId="0" borderId="0" xfId="0" applyFont="1"/>
    <xf numFmtId="0" fontId="25" fillId="0" borderId="0" xfId="0" applyFont="1" applyAlignment="1">
      <alignment horizontal="right"/>
    </xf>
    <xf numFmtId="2" fontId="28" fillId="0" borderId="2" xfId="0" applyNumberFormat="1" applyFont="1" applyBorder="1" applyAlignment="1" applyProtection="1">
      <alignment horizontal="center" vertical="center"/>
      <protection locked="0"/>
    </xf>
    <xf numFmtId="2" fontId="28" fillId="0" borderId="2" xfId="0" applyNumberFormat="1" applyFont="1" applyBorder="1" applyAlignment="1">
      <alignment horizontal="center" vertical="center"/>
    </xf>
    <xf numFmtId="0" fontId="3" fillId="0" borderId="0" xfId="0" applyFont="1" applyAlignment="1" applyProtection="1">
      <alignment horizontal="center" vertical="center"/>
      <protection locked="0"/>
    </xf>
    <xf numFmtId="0" fontId="3" fillId="0" borderId="0" xfId="0" applyFont="1" applyAlignment="1">
      <alignment horizontal="center" vertical="center"/>
    </xf>
    <xf numFmtId="0" fontId="29" fillId="0" borderId="0" xfId="0" applyFont="1" applyAlignment="1" applyProtection="1">
      <alignment horizontal="center" vertical="center"/>
      <protection locked="0"/>
    </xf>
    <xf numFmtId="0" fontId="29" fillId="0" borderId="0" xfId="0" applyFont="1" applyAlignment="1">
      <alignment horizontal="center" vertical="center"/>
    </xf>
    <xf numFmtId="0" fontId="30" fillId="5" borderId="0" xfId="0" applyFont="1" applyFill="1" applyAlignment="1" applyProtection="1">
      <alignment horizontal="center" vertical="center"/>
      <protection locked="0"/>
    </xf>
    <xf numFmtId="0" fontId="30" fillId="4" borderId="0" xfId="0" applyFont="1" applyFill="1" applyAlignment="1">
      <alignment horizontal="center" vertical="center"/>
    </xf>
    <xf numFmtId="0" fontId="9" fillId="9" borderId="1" xfId="0" applyFont="1" applyFill="1" applyBorder="1" applyAlignment="1" applyProtection="1">
      <alignment horizontal="center" vertical="center" wrapText="1"/>
      <protection locked="0"/>
    </xf>
    <xf numFmtId="0" fontId="16" fillId="0" borderId="1" xfId="0" applyFont="1" applyBorder="1" applyAlignment="1" applyProtection="1">
      <alignment horizontal="center" vertical="center" wrapText="1"/>
      <protection locked="0"/>
    </xf>
    <xf numFmtId="2" fontId="10" fillId="0" borderId="1" xfId="0" applyNumberFormat="1" applyFont="1" applyBorder="1" applyProtection="1">
      <protection locked="0"/>
    </xf>
    <xf numFmtId="0" fontId="14" fillId="0" borderId="1" xfId="0" applyFont="1" applyBorder="1" applyAlignment="1" applyProtection="1">
      <alignment horizontal="left" vertical="center" wrapText="1"/>
      <protection locked="0"/>
    </xf>
    <xf numFmtId="0" fontId="18" fillId="0" borderId="1" xfId="0" applyFont="1" applyBorder="1" applyAlignment="1" applyProtection="1">
      <alignment horizontal="left" vertical="center" wrapText="1"/>
      <protection locked="0"/>
    </xf>
    <xf numFmtId="0" fontId="33" fillId="8" borderId="1" xfId="0" applyFont="1" applyFill="1" applyBorder="1" applyProtection="1">
      <protection locked="0"/>
    </xf>
    <xf numFmtId="1" fontId="10" fillId="8" borderId="1" xfId="0" applyNumberFormat="1" applyFont="1" applyFill="1" applyBorder="1" applyProtection="1">
      <protection locked="0"/>
    </xf>
    <xf numFmtId="0" fontId="0" fillId="8" borderId="1" xfId="0" applyFill="1" applyBorder="1" applyProtection="1">
      <protection locked="0"/>
    </xf>
    <xf numFmtId="2" fontId="21" fillId="8" borderId="1" xfId="0" applyNumberFormat="1" applyFont="1" applyFill="1" applyBorder="1" applyProtection="1">
      <protection locked="0"/>
    </xf>
    <xf numFmtId="169" fontId="34" fillId="0" borderId="1" xfId="0" applyNumberFormat="1" applyFont="1" applyBorder="1" applyProtection="1">
      <protection locked="0"/>
    </xf>
    <xf numFmtId="0" fontId="24" fillId="6" borderId="1" xfId="0" applyFont="1" applyFill="1" applyBorder="1" applyAlignment="1" applyProtection="1">
      <alignment horizontal="center" vertical="center" wrapText="1"/>
      <protection locked="0"/>
    </xf>
    <xf numFmtId="0" fontId="20" fillId="0" borderId="1" xfId="0" applyFont="1" applyBorder="1" applyAlignment="1" applyProtection="1">
      <alignment horizontal="left" vertical="center" wrapText="1"/>
      <protection locked="0"/>
    </xf>
    <xf numFmtId="0" fontId="35" fillId="0" borderId="1" xfId="0" applyFont="1" applyBorder="1" applyAlignment="1" applyProtection="1">
      <alignment horizontal="left" vertical="center" wrapText="1"/>
      <protection locked="0"/>
    </xf>
    <xf numFmtId="0" fontId="18" fillId="3" borderId="1" xfId="0" applyFont="1" applyFill="1" applyBorder="1" applyAlignment="1" applyProtection="1">
      <alignment horizontal="left" vertical="center" wrapText="1"/>
      <protection locked="0"/>
    </xf>
    <xf numFmtId="0" fontId="18" fillId="4" borderId="1" xfId="0" applyFont="1" applyFill="1" applyBorder="1" applyAlignment="1" applyProtection="1">
      <alignment horizontal="left" vertical="center" wrapText="1"/>
      <protection locked="0"/>
    </xf>
    <xf numFmtId="0" fontId="18" fillId="5" borderId="1" xfId="0" applyFont="1" applyFill="1" applyBorder="1" applyAlignment="1" applyProtection="1">
      <alignment horizontal="left" vertical="center" wrapText="1"/>
      <protection locked="0"/>
    </xf>
    <xf numFmtId="0" fontId="16" fillId="0" borderId="1" xfId="0" applyFont="1" applyBorder="1" applyAlignment="1" applyProtection="1">
      <alignment horizontal="left" vertical="center" wrapText="1"/>
      <protection locked="0"/>
    </xf>
    <xf numFmtId="2" fontId="22" fillId="0" borderId="0" xfId="0" applyNumberFormat="1" applyFont="1" applyAlignment="1" applyProtection="1">
      <alignment horizontal="center" vertical="center" wrapText="1"/>
      <protection locked="0"/>
    </xf>
    <xf numFmtId="0" fontId="23" fillId="0" borderId="0" xfId="0" applyFont="1" applyAlignment="1" applyProtection="1">
      <alignment horizontal="center" vertical="center" wrapText="1"/>
      <protection locked="0"/>
    </xf>
    <xf numFmtId="0" fontId="25" fillId="0" borderId="0" xfId="0" applyFont="1" applyAlignment="1" applyProtection="1">
      <alignment horizontal="left" vertical="center" wrapText="1"/>
      <protection locked="0"/>
    </xf>
    <xf numFmtId="0" fontId="25" fillId="0" borderId="0" xfId="0" applyFont="1" applyAlignment="1">
      <alignment horizontal="right"/>
    </xf>
    <xf numFmtId="0" fontId="31" fillId="5" borderId="0" xfId="0" applyFont="1" applyFill="1" applyAlignment="1">
      <alignment horizontal="center" vertical="center"/>
    </xf>
    <xf numFmtId="0" fontId="31" fillId="4" borderId="0" xfId="0" applyFont="1" applyFill="1" applyAlignment="1">
      <alignment horizontal="center" vertical="center"/>
    </xf>
    <xf numFmtId="0" fontId="31" fillId="3" borderId="0" xfId="0" applyFont="1" applyFill="1" applyAlignment="1">
      <alignment horizontal="center" vertical="center"/>
    </xf>
    <xf numFmtId="0" fontId="32" fillId="0" borderId="0" xfId="0" applyFont="1" applyAlignment="1">
      <alignment horizontal="center" vertical="center"/>
    </xf>
    <xf numFmtId="0" fontId="25" fillId="0" borderId="0" xfId="0" applyFont="1" applyAlignment="1">
      <alignment horizontal="left" vertical="top" wrapText="1"/>
    </xf>
    <xf numFmtId="0" fontId="21" fillId="0" borderId="1" xfId="0" applyFont="1" applyBorder="1" applyProtection="1">
      <protection locked="0"/>
    </xf>
    <xf numFmtId="0" fontId="15" fillId="0" borderId="0" xfId="0" applyFont="1" applyProtection="1">
      <protection locked="0"/>
    </xf>
    <xf numFmtId="0" fontId="9" fillId="9" borderId="1" xfId="0" applyFont="1" applyFill="1" applyBorder="1" applyProtection="1">
      <protection locked="0"/>
    </xf>
  </cellXfs>
  <cellStyles count="1">
    <cellStyle name="Normal" xfId="0" builtinId="0"/>
  </cellStyles>
  <dxfs count="79">
    <dxf>
      <font>
        <b/>
        <color rgb="FF9C0006"/>
      </font>
      <fill>
        <patternFill>
          <bgColor rgb="FFFFC7CE"/>
        </patternFill>
      </fill>
    </dxf>
    <dxf>
      <font>
        <b/>
        <color rgb="FF9C6500"/>
      </font>
      <fill>
        <patternFill>
          <bgColor rgb="FFFFEB9C"/>
        </patternFill>
      </fill>
    </dxf>
    <dxf>
      <font>
        <b/>
        <color rgb="FF006100"/>
      </font>
      <fill>
        <patternFill>
          <bgColor rgb="FFC6EFCE"/>
        </patternFill>
      </fill>
    </dxf>
    <dxf>
      <fill>
        <patternFill>
          <bgColor rgb="FFFFC7CE"/>
        </patternFill>
      </fill>
    </dxf>
    <dxf>
      <fill>
        <patternFill>
          <bgColor rgb="FFFFEB9C"/>
        </patternFill>
      </fill>
    </dxf>
    <dxf>
      <fill>
        <patternFill>
          <bgColor rgb="FFC6EFCE"/>
        </patternFill>
      </fill>
    </dxf>
    <dxf>
      <font>
        <b/>
        <color rgb="FF9C0006"/>
      </font>
      <fill>
        <patternFill>
          <bgColor rgb="FFFFC7CE"/>
        </patternFill>
      </fill>
    </dxf>
    <dxf>
      <font>
        <b/>
        <color rgb="FF9C6500"/>
      </font>
      <fill>
        <patternFill>
          <bgColor rgb="FFFFEB9C"/>
        </patternFill>
      </fill>
    </dxf>
    <dxf>
      <font>
        <b/>
        <color rgb="FF006100"/>
      </font>
      <fill>
        <patternFill>
          <bgColor rgb="FFC6EFCE"/>
        </patternFill>
      </fill>
    </dxf>
    <dxf>
      <font>
        <b/>
        <color rgb="FF9C6500"/>
      </font>
      <fill>
        <patternFill>
          <bgColor rgb="FFFFEB9C"/>
        </patternFill>
      </fill>
    </dxf>
    <dxf>
      <font>
        <b/>
        <color rgb="FF006100"/>
      </font>
      <fill>
        <patternFill>
          <bgColor rgb="FFC6EFCE"/>
        </patternFill>
      </fill>
    </dxf>
    <dxf>
      <font>
        <b/>
        <color rgb="FF9C0006"/>
      </font>
      <fill>
        <patternFill>
          <bgColor rgb="FFFFC7CE"/>
        </patternFill>
      </fill>
    </dxf>
    <dxf>
      <font>
        <b/>
        <color rgb="FF9C0006"/>
      </font>
      <fill>
        <patternFill>
          <bgColor rgb="FFFFC7CE"/>
        </patternFill>
      </fill>
    </dxf>
    <dxf>
      <font>
        <b/>
        <color rgb="FF9C6500"/>
      </font>
      <fill>
        <patternFill>
          <bgColor rgb="FFFFEB9C"/>
        </patternFill>
      </fill>
    </dxf>
    <dxf>
      <font>
        <b/>
        <color rgb="FF006100"/>
      </font>
      <fill>
        <patternFill>
          <bgColor rgb="FFC6EFCE"/>
        </patternFill>
      </fill>
    </dxf>
    <dxf>
      <font>
        <b/>
        <color rgb="FF9C0006"/>
      </font>
      <fill>
        <patternFill>
          <bgColor rgb="FFFFC7CE"/>
        </patternFill>
      </fill>
    </dxf>
    <dxf>
      <font>
        <b/>
        <color rgb="FF9C6500"/>
      </font>
      <fill>
        <patternFill>
          <bgColor rgb="FFFFEB9C"/>
        </patternFill>
      </fill>
    </dxf>
    <dxf>
      <font>
        <b/>
        <color rgb="FF006100"/>
      </font>
      <fill>
        <patternFill>
          <bgColor rgb="FFC6EFCE"/>
        </patternFill>
      </fill>
    </dxf>
    <dxf>
      <font>
        <b/>
        <color rgb="FF9C0006"/>
      </font>
      <fill>
        <patternFill>
          <bgColor rgb="FFFFC7CE"/>
        </patternFill>
      </fill>
    </dxf>
    <dxf>
      <font>
        <b/>
        <color rgb="FF9C6500"/>
      </font>
      <fill>
        <patternFill>
          <bgColor rgb="FFFFEB9C"/>
        </patternFill>
      </fill>
    </dxf>
    <dxf>
      <font>
        <b/>
        <color rgb="FF006100"/>
      </font>
      <fill>
        <patternFill>
          <bgColor rgb="FFC6EFCE"/>
        </patternFill>
      </fill>
    </dxf>
    <dxf>
      <font>
        <b/>
        <color rgb="FF9C0006"/>
      </font>
      <fill>
        <patternFill>
          <bgColor rgb="FFFFC7CE"/>
        </patternFill>
      </fill>
    </dxf>
    <dxf>
      <font>
        <b/>
        <color rgb="FF9C6500"/>
      </font>
      <fill>
        <patternFill>
          <bgColor rgb="FFFFEB9C"/>
        </patternFill>
      </fill>
    </dxf>
    <dxf>
      <font>
        <b/>
        <color rgb="FF006100"/>
      </font>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ont>
        <b/>
        <color rgb="FF9C0006"/>
      </font>
      <fill>
        <patternFill>
          <bgColor rgb="FFFFC7CE"/>
        </patternFill>
      </fill>
    </dxf>
    <dxf>
      <font>
        <b/>
        <color rgb="FF9C6500"/>
      </font>
      <fill>
        <patternFill>
          <bgColor rgb="FFFFEB9C"/>
        </patternFill>
      </fill>
    </dxf>
    <dxf>
      <font>
        <b/>
        <color rgb="FF006100"/>
      </font>
      <fill>
        <patternFill>
          <bgColor rgb="FFC6EFCE"/>
        </patternFill>
      </fill>
    </dxf>
    <dxf>
      <fill>
        <patternFill>
          <bgColor rgb="FFFFC7CE"/>
        </patternFill>
      </fill>
    </dxf>
    <dxf>
      <fill>
        <patternFill>
          <bgColor rgb="FFC6EFCE"/>
        </patternFill>
      </fill>
    </dxf>
    <dxf>
      <font>
        <b/>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20808D"/>
      <rgbColor rgb="FFBFBFBF"/>
      <rgbColor rgb="FF878787"/>
      <rgbColor rgb="FF9999FF"/>
      <rgbColor rgb="FFA13544"/>
      <rgbColor rgb="FFF7F6F2"/>
      <rgbColor rgb="FFEAF3F4"/>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9F9F9"/>
      <rgbColor rgb="FFC6EFCE"/>
      <rgbColor rgb="FFFFEB9C"/>
      <rgbColor rgb="FFBCE2E7"/>
      <rgbColor rgb="FFFF99CC"/>
      <rgbColor rgb="FFD4D1CA"/>
      <rgbColor rgb="FFFFC7CE"/>
      <rgbColor rgb="FF3366FF"/>
      <rgbColor rgb="FF33CCCC"/>
      <rgbColor rgb="FF99CC00"/>
      <rgbColor rgb="FFFFCC00"/>
      <rgbColor rgb="FFFF9900"/>
      <rgbColor rgb="FFA84B2F"/>
      <rgbColor rgb="FF7A7974"/>
      <rgbColor rgb="FF848456"/>
      <rgbColor rgb="FF003366"/>
      <rgbColor rgb="FF437A22"/>
      <rgbColor rgb="FF006100"/>
      <rgbColor rgb="FF4A4A4A"/>
      <rgbColor rgb="FF964219"/>
      <rgbColor rgb="FF944454"/>
      <rgbColor rgb="FF333399"/>
      <rgbColor rgb="FF1B474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Evolución del DSCR proyectado (2026-2031) vs. meta 1.25x</a:t>
            </a:r>
          </a:p>
        </c:rich>
      </c:tx>
      <c:overlay val="0"/>
      <c:spPr>
        <a:noFill/>
        <a:ln w="0">
          <a:noFill/>
        </a:ln>
      </c:spPr>
    </c:title>
    <c:autoTitleDeleted val="0"/>
    <c:plotArea>
      <c:layout/>
      <c:lineChart>
        <c:grouping val="standard"/>
        <c:varyColors val="0"/>
        <c:ser>
          <c:idx val="0"/>
          <c:order val="0"/>
          <c:tx>
            <c:strRef>
              <c:f>Crédito_DSCR!$B$21</c:f>
              <c:strCache>
                <c:ptCount val="1"/>
                <c:pt idx="0">
                  <c:v>DSCR (flujo disponible / servicio de deuda)</c:v>
                </c:pt>
              </c:strCache>
            </c:strRef>
          </c:tx>
          <c:spPr>
            <a:ln w="24840">
              <a:solidFill>
                <a:srgbClr val="20808D"/>
              </a:solidFill>
              <a:round/>
            </a:ln>
          </c:spPr>
          <c:marker>
            <c:symbol val="circle"/>
            <c:size val="7"/>
            <c:spPr>
              <a:solidFill>
                <a:srgbClr val="20808D"/>
              </a:solidFill>
            </c:spPr>
          </c:marker>
          <c:dLbls>
            <c:spPr>
              <a:noFill/>
              <a:ln>
                <a:noFill/>
              </a:ln>
              <a:effectLst/>
            </c:spPr>
            <c:txPr>
              <a:bodyPr wrap="square"/>
              <a:lstStyle/>
              <a:p>
                <a:pPr>
                  <a:defRPr sz="1000" b="0" u="none" strike="noStrike">
                    <a:solidFill>
                      <a:srgbClr val="000000"/>
                    </a:solidFill>
                    <a:uFillTx/>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4840">
                      <a:solidFill>
                        <a:srgbClr val="000000"/>
                      </a:solidFill>
                    </a:ln>
                  </c:spPr>
                </c15:leaderLines>
              </c:ext>
            </c:extLst>
          </c:dLbls>
          <c:cat>
            <c:numRef>
              <c:f>Crédito_DSCR!$C$14:$H$14</c:f>
              <c:numCache>
                <c:formatCode>General</c:formatCode>
                <c:ptCount val="6"/>
                <c:pt idx="0">
                  <c:v>2026</c:v>
                </c:pt>
                <c:pt idx="1">
                  <c:v>2027</c:v>
                </c:pt>
                <c:pt idx="2">
                  <c:v>2028</c:v>
                </c:pt>
                <c:pt idx="3">
                  <c:v>2029</c:v>
                </c:pt>
                <c:pt idx="4">
                  <c:v>2030</c:v>
                </c:pt>
                <c:pt idx="5">
                  <c:v>2031</c:v>
                </c:pt>
              </c:numCache>
            </c:numRef>
          </c:cat>
          <c:val>
            <c:numRef>
              <c:f>Crédito_DSCR!$C$21:$H$21</c:f>
              <c:numCache>
                <c:formatCode>0.00\x</c:formatCode>
                <c:ptCount val="6"/>
                <c:pt idx="0">
                  <c:v>2.2833333333333332</c:v>
                </c:pt>
                <c:pt idx="1">
                  <c:v>1.0281385281385282</c:v>
                </c:pt>
                <c:pt idx="2">
                  <c:v>1.3145539906103287</c:v>
                </c:pt>
                <c:pt idx="3">
                  <c:v>1.676923076923077</c:v>
                </c:pt>
                <c:pt idx="4">
                  <c:v>2.1101694915254239</c:v>
                </c:pt>
                <c:pt idx="5">
                  <c:v>2.3490566037735849</c:v>
                </c:pt>
              </c:numCache>
            </c:numRef>
          </c:val>
          <c:smooth val="0"/>
          <c:extLst>
            <c:ext xmlns:c16="http://schemas.microsoft.com/office/drawing/2014/chart" uri="{C3380CC4-5D6E-409C-BE32-E72D297353CC}">
              <c16:uniqueId val="{00000000-4F83-462C-B5EA-CBD4BFCF16ED}"/>
            </c:ext>
          </c:extLst>
        </c:ser>
        <c:ser>
          <c:idx val="1"/>
          <c:order val="1"/>
          <c:tx>
            <c:strRef>
              <c:f>Crédito_DSCR!$B$33</c:f>
              <c:strCache>
                <c:ptCount val="1"/>
                <c:pt idx="0">
                  <c:v>Serie auxiliar: DSCR meta (para gráfico)</c:v>
                </c:pt>
              </c:strCache>
            </c:strRef>
          </c:tx>
          <c:spPr>
            <a:ln w="15120">
              <a:solidFill>
                <a:srgbClr val="A13544"/>
              </a:solidFill>
              <a:prstDash val="dash"/>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5120">
                      <a:solidFill>
                        <a:srgbClr val="000000"/>
                      </a:solidFill>
                      <a:prstDash val="dash"/>
                    </a:ln>
                  </c:spPr>
                </c15:leaderLines>
              </c:ext>
            </c:extLst>
          </c:dLbls>
          <c:cat>
            <c:numRef>
              <c:f>Crédito_DSCR!$C$14:$H$14</c:f>
              <c:numCache>
                <c:formatCode>General</c:formatCode>
                <c:ptCount val="6"/>
                <c:pt idx="0">
                  <c:v>2026</c:v>
                </c:pt>
                <c:pt idx="1">
                  <c:v>2027</c:v>
                </c:pt>
                <c:pt idx="2">
                  <c:v>2028</c:v>
                </c:pt>
                <c:pt idx="3">
                  <c:v>2029</c:v>
                </c:pt>
                <c:pt idx="4">
                  <c:v>2030</c:v>
                </c:pt>
                <c:pt idx="5">
                  <c:v>2031</c:v>
                </c:pt>
              </c:numCache>
            </c:numRef>
          </c:cat>
          <c:val>
            <c:numRef>
              <c:f>Crédito_DSCR!$C$33:$H$33</c:f>
              <c:numCache>
                <c:formatCode>0.00\x</c:formatCode>
                <c:ptCount val="6"/>
                <c:pt idx="0">
                  <c:v>1.25</c:v>
                </c:pt>
                <c:pt idx="1">
                  <c:v>1.25</c:v>
                </c:pt>
                <c:pt idx="2">
                  <c:v>1.25</c:v>
                </c:pt>
                <c:pt idx="3">
                  <c:v>1.25</c:v>
                </c:pt>
                <c:pt idx="4">
                  <c:v>1.25</c:v>
                </c:pt>
                <c:pt idx="5">
                  <c:v>1.25</c:v>
                </c:pt>
              </c:numCache>
            </c:numRef>
          </c:val>
          <c:smooth val="0"/>
          <c:extLst>
            <c:ext xmlns:c16="http://schemas.microsoft.com/office/drawing/2014/chart" uri="{C3380CC4-5D6E-409C-BE32-E72D297353CC}">
              <c16:uniqueId val="{00000001-4F83-462C-B5EA-CBD4BFCF16ED}"/>
            </c:ext>
          </c:extLst>
        </c:ser>
        <c:dLbls>
          <c:showLegendKey val="0"/>
          <c:showVal val="0"/>
          <c:showCatName val="0"/>
          <c:showSerName val="0"/>
          <c:showPercent val="0"/>
          <c:showBubbleSize val="0"/>
        </c:dLbls>
        <c:hiLowLines>
          <c:spPr>
            <a:ln w="0">
              <a:noFill/>
            </a:ln>
          </c:spPr>
        </c:hiLowLines>
        <c:marker val="1"/>
        <c:smooth val="0"/>
        <c:axId val="14907608"/>
        <c:axId val="2160260"/>
      </c:lineChart>
      <c:catAx>
        <c:axId val="14907608"/>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Año</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s-MX"/>
          </a:p>
        </c:txPr>
        <c:crossAx val="2160260"/>
        <c:crosses val="autoZero"/>
        <c:auto val="1"/>
        <c:lblAlgn val="ctr"/>
        <c:lblOffset val="100"/>
        <c:noMultiLvlLbl val="0"/>
      </c:catAx>
      <c:valAx>
        <c:axId val="2160260"/>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DSCR (veces)</a:t>
                </a:r>
              </a:p>
            </c:rich>
          </c:tx>
          <c:overlay val="0"/>
          <c:spPr>
            <a:noFill/>
            <a:ln w="0">
              <a:noFill/>
            </a:ln>
          </c:spPr>
        </c:title>
        <c:numFmt formatCode="0.00\x"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s-MX"/>
          </a:p>
        </c:txPr>
        <c:crossAx val="14907608"/>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s-MX"/>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Liquidez y endeudamiento (2023-2025)</a:t>
            </a:r>
          </a:p>
        </c:rich>
      </c:tx>
      <c:overlay val="0"/>
      <c:spPr>
        <a:noFill/>
        <a:ln w="0">
          <a:noFill/>
        </a:ln>
      </c:spPr>
    </c:title>
    <c:autoTitleDeleted val="0"/>
    <c:plotArea>
      <c:layout/>
      <c:lineChart>
        <c:grouping val="standard"/>
        <c:varyColors val="0"/>
        <c:ser>
          <c:idx val="0"/>
          <c:order val="0"/>
          <c:tx>
            <c:strRef>
              <c:f>Indicadores!$B$7</c:f>
              <c:strCache>
                <c:ptCount val="1"/>
                <c:pt idx="0">
                  <c:v>Razón corriente (veces)</c:v>
                </c:pt>
              </c:strCache>
            </c:strRef>
          </c:tx>
          <c:spPr>
            <a:ln w="20160">
              <a:solidFill>
                <a:srgbClr val="20808D"/>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0160">
                      <a:solidFill>
                        <a:srgbClr val="000000"/>
                      </a:solidFill>
                    </a:ln>
                  </c:spPr>
                </c15:leaderLines>
              </c:ext>
            </c:extLst>
          </c:dLbls>
          <c:cat>
            <c:numRef>
              <c:f>Indicadores!$C$5:$E$5</c:f>
              <c:numCache>
                <c:formatCode>General</c:formatCode>
                <c:ptCount val="3"/>
                <c:pt idx="0">
                  <c:v>2023</c:v>
                </c:pt>
                <c:pt idx="1">
                  <c:v>2024</c:v>
                </c:pt>
                <c:pt idx="2">
                  <c:v>2025</c:v>
                </c:pt>
              </c:numCache>
            </c:numRef>
          </c:cat>
          <c:val>
            <c:numRef>
              <c:f>Indicadores!$C$7:$E$7</c:f>
              <c:numCache>
                <c:formatCode>0.00\x</c:formatCode>
                <c:ptCount val="3"/>
                <c:pt idx="0">
                  <c:v>6.8469387755102042</c:v>
                </c:pt>
                <c:pt idx="1">
                  <c:v>6.3773584905660377</c:v>
                </c:pt>
                <c:pt idx="2">
                  <c:v>4.5454545454545459</c:v>
                </c:pt>
              </c:numCache>
            </c:numRef>
          </c:val>
          <c:smooth val="0"/>
          <c:extLst>
            <c:ext xmlns:c16="http://schemas.microsoft.com/office/drawing/2014/chart" uri="{C3380CC4-5D6E-409C-BE32-E72D297353CC}">
              <c16:uniqueId val="{00000000-D29D-450D-A60E-D4218646FEAD}"/>
            </c:ext>
          </c:extLst>
        </c:ser>
        <c:ser>
          <c:idx val="1"/>
          <c:order val="1"/>
          <c:tx>
            <c:strRef>
              <c:f>Indicadores!$B$8</c:f>
              <c:strCache>
                <c:ptCount val="1"/>
                <c:pt idx="0">
                  <c:v>Prueba ácida (veces)</c:v>
                </c:pt>
              </c:strCache>
            </c:strRef>
          </c:tx>
          <c:spPr>
            <a:ln w="20160">
              <a:solidFill>
                <a:srgbClr val="1B474D"/>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0160">
                      <a:solidFill>
                        <a:srgbClr val="000000"/>
                      </a:solidFill>
                    </a:ln>
                  </c:spPr>
                </c15:leaderLines>
              </c:ext>
            </c:extLst>
          </c:dLbls>
          <c:cat>
            <c:numRef>
              <c:f>Indicadores!$C$5:$E$5</c:f>
              <c:numCache>
                <c:formatCode>General</c:formatCode>
                <c:ptCount val="3"/>
                <c:pt idx="0">
                  <c:v>2023</c:v>
                </c:pt>
                <c:pt idx="1">
                  <c:v>2024</c:v>
                </c:pt>
                <c:pt idx="2">
                  <c:v>2025</c:v>
                </c:pt>
              </c:numCache>
            </c:numRef>
          </c:cat>
          <c:val>
            <c:numRef>
              <c:f>Indicadores!$C$8:$E$8</c:f>
              <c:numCache>
                <c:formatCode>0.00\x</c:formatCode>
                <c:ptCount val="3"/>
                <c:pt idx="0">
                  <c:v>5.0510204081632653</c:v>
                </c:pt>
                <c:pt idx="1">
                  <c:v>4.632075471698113</c:v>
                </c:pt>
                <c:pt idx="2">
                  <c:v>3.2167832167832167</c:v>
                </c:pt>
              </c:numCache>
            </c:numRef>
          </c:val>
          <c:smooth val="0"/>
          <c:extLst>
            <c:ext xmlns:c16="http://schemas.microsoft.com/office/drawing/2014/chart" uri="{C3380CC4-5D6E-409C-BE32-E72D297353CC}">
              <c16:uniqueId val="{00000001-D29D-450D-A60E-D4218646FEAD}"/>
            </c:ext>
          </c:extLst>
        </c:ser>
        <c:ser>
          <c:idx val="2"/>
          <c:order val="2"/>
          <c:tx>
            <c:strRef>
              <c:f>Indicadores!$B$11</c:f>
              <c:strCache>
                <c:ptCount val="1"/>
                <c:pt idx="0">
                  <c:v>Deuda total / Patrimonio (veces)</c:v>
                </c:pt>
              </c:strCache>
            </c:strRef>
          </c:tx>
          <c:spPr>
            <a:ln w="20160">
              <a:solidFill>
                <a:srgbClr val="A84B2F"/>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0160">
                      <a:solidFill>
                        <a:srgbClr val="000000"/>
                      </a:solidFill>
                    </a:ln>
                  </c:spPr>
                </c15:leaderLines>
              </c:ext>
            </c:extLst>
          </c:dLbls>
          <c:cat>
            <c:numRef>
              <c:f>Indicadores!$C$5:$E$5</c:f>
              <c:numCache>
                <c:formatCode>General</c:formatCode>
                <c:ptCount val="3"/>
                <c:pt idx="0">
                  <c:v>2023</c:v>
                </c:pt>
                <c:pt idx="1">
                  <c:v>2024</c:v>
                </c:pt>
                <c:pt idx="2">
                  <c:v>2025</c:v>
                </c:pt>
              </c:numCache>
            </c:numRef>
          </c:cat>
          <c:val>
            <c:numRef>
              <c:f>Indicadores!$C$11:$E$11</c:f>
              <c:numCache>
                <c:formatCode>0.00\x</c:formatCode>
                <c:ptCount val="3"/>
                <c:pt idx="0">
                  <c:v>0.15831987075928919</c:v>
                </c:pt>
                <c:pt idx="1">
                  <c:v>0.17263843648208468</c:v>
                </c:pt>
                <c:pt idx="2">
                  <c:v>0.26</c:v>
                </c:pt>
              </c:numCache>
            </c:numRef>
          </c:val>
          <c:smooth val="0"/>
          <c:extLst>
            <c:ext xmlns:c16="http://schemas.microsoft.com/office/drawing/2014/chart" uri="{C3380CC4-5D6E-409C-BE32-E72D297353CC}">
              <c16:uniqueId val="{00000002-D29D-450D-A60E-D4218646FEAD}"/>
            </c:ext>
          </c:extLst>
        </c:ser>
        <c:ser>
          <c:idx val="3"/>
          <c:order val="3"/>
          <c:tx>
            <c:strRef>
              <c:f>Indicadores!$B$12</c:f>
              <c:strCache>
                <c:ptCount val="1"/>
                <c:pt idx="0">
                  <c:v>Pasivo total / Activo total</c:v>
                </c:pt>
              </c:strCache>
            </c:strRef>
          </c:tx>
          <c:spPr>
            <a:ln w="20160">
              <a:solidFill>
                <a:srgbClr val="944454"/>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0160">
                      <a:solidFill>
                        <a:srgbClr val="000000"/>
                      </a:solidFill>
                    </a:ln>
                  </c:spPr>
                </c15:leaderLines>
              </c:ext>
            </c:extLst>
          </c:dLbls>
          <c:cat>
            <c:numRef>
              <c:f>Indicadores!$C$5:$E$5</c:f>
              <c:numCache>
                <c:formatCode>General</c:formatCode>
                <c:ptCount val="3"/>
                <c:pt idx="0">
                  <c:v>2023</c:v>
                </c:pt>
                <c:pt idx="1">
                  <c:v>2024</c:v>
                </c:pt>
                <c:pt idx="2">
                  <c:v>2025</c:v>
                </c:pt>
              </c:numCache>
            </c:numRef>
          </c:cat>
          <c:val>
            <c:numRef>
              <c:f>Indicadores!$C$12:$E$12</c:f>
              <c:numCache>
                <c:formatCode>0.0%</c:formatCode>
                <c:ptCount val="3"/>
                <c:pt idx="0">
                  <c:v>0.13668061366806136</c:v>
                </c:pt>
                <c:pt idx="1">
                  <c:v>0.14722222222222223</c:v>
                </c:pt>
                <c:pt idx="2">
                  <c:v>0.20634920634920634</c:v>
                </c:pt>
              </c:numCache>
            </c:numRef>
          </c:val>
          <c:smooth val="0"/>
          <c:extLst>
            <c:ext xmlns:c16="http://schemas.microsoft.com/office/drawing/2014/chart" uri="{C3380CC4-5D6E-409C-BE32-E72D297353CC}">
              <c16:uniqueId val="{00000003-D29D-450D-A60E-D4218646FEAD}"/>
            </c:ext>
          </c:extLst>
        </c:ser>
        <c:dLbls>
          <c:showLegendKey val="0"/>
          <c:showVal val="0"/>
          <c:showCatName val="0"/>
          <c:showSerName val="0"/>
          <c:showPercent val="0"/>
          <c:showBubbleSize val="0"/>
        </c:dLbls>
        <c:hiLowLines>
          <c:spPr>
            <a:ln w="0">
              <a:noFill/>
            </a:ln>
          </c:spPr>
        </c:hiLowLines>
        <c:smooth val="0"/>
        <c:axId val="3343815"/>
        <c:axId val="77492272"/>
      </c:lineChart>
      <c:catAx>
        <c:axId val="3343815"/>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Año</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s-MX"/>
          </a:p>
        </c:txPr>
        <c:crossAx val="77492272"/>
        <c:crosses val="autoZero"/>
        <c:auto val="1"/>
        <c:lblAlgn val="ctr"/>
        <c:lblOffset val="100"/>
        <c:noMultiLvlLbl val="0"/>
      </c:catAx>
      <c:valAx>
        <c:axId val="7749227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Veces / %</a:t>
                </a:r>
              </a:p>
            </c:rich>
          </c:tx>
          <c:overlay val="0"/>
          <c:spPr>
            <a:noFill/>
            <a:ln w="0">
              <a:noFill/>
            </a:ln>
          </c:spPr>
        </c:title>
        <c:numFmt formatCode="0.00\x"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s-MX"/>
          </a:p>
        </c:txPr>
        <c:crossAx val="3343815"/>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s-MX"/>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Rentabilidad: márgenes, ROA y ROE (2023-2025)</a:t>
            </a:r>
          </a:p>
        </c:rich>
      </c:tx>
      <c:overlay val="0"/>
      <c:spPr>
        <a:noFill/>
        <a:ln w="0">
          <a:noFill/>
        </a:ln>
      </c:spPr>
    </c:title>
    <c:autoTitleDeleted val="0"/>
    <c:plotArea>
      <c:layout/>
      <c:lineChart>
        <c:grouping val="standard"/>
        <c:varyColors val="0"/>
        <c:ser>
          <c:idx val="0"/>
          <c:order val="0"/>
          <c:tx>
            <c:strRef>
              <c:f>Indicadores!$B$15</c:f>
              <c:strCache>
                <c:ptCount val="1"/>
                <c:pt idx="0">
                  <c:v>Margen bruto</c:v>
                </c:pt>
              </c:strCache>
            </c:strRef>
          </c:tx>
          <c:spPr>
            <a:ln w="20160">
              <a:solidFill>
                <a:srgbClr val="20808D"/>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0160">
                      <a:solidFill>
                        <a:srgbClr val="000000"/>
                      </a:solidFill>
                    </a:ln>
                  </c:spPr>
                </c15:leaderLines>
              </c:ext>
            </c:extLst>
          </c:dLbls>
          <c:cat>
            <c:numRef>
              <c:f>Indicadores!$C$5:$E$5</c:f>
              <c:numCache>
                <c:formatCode>General</c:formatCode>
                <c:ptCount val="3"/>
                <c:pt idx="0">
                  <c:v>2023</c:v>
                </c:pt>
                <c:pt idx="1">
                  <c:v>2024</c:v>
                </c:pt>
                <c:pt idx="2">
                  <c:v>2025</c:v>
                </c:pt>
              </c:numCache>
            </c:numRef>
          </c:cat>
          <c:val>
            <c:numRef>
              <c:f>Indicadores!$C$15:$E$15</c:f>
              <c:numCache>
                <c:formatCode>0.0%</c:formatCode>
                <c:ptCount val="3"/>
                <c:pt idx="0">
                  <c:v>0.32</c:v>
                </c:pt>
                <c:pt idx="1">
                  <c:v>0.31</c:v>
                </c:pt>
                <c:pt idx="2">
                  <c:v>0.29499999999999998</c:v>
                </c:pt>
              </c:numCache>
            </c:numRef>
          </c:val>
          <c:smooth val="0"/>
          <c:extLst>
            <c:ext xmlns:c16="http://schemas.microsoft.com/office/drawing/2014/chart" uri="{C3380CC4-5D6E-409C-BE32-E72D297353CC}">
              <c16:uniqueId val="{00000000-B605-4A17-A6F6-249542201B5C}"/>
            </c:ext>
          </c:extLst>
        </c:ser>
        <c:ser>
          <c:idx val="1"/>
          <c:order val="1"/>
          <c:tx>
            <c:strRef>
              <c:f>Indicadores!$B$16</c:f>
              <c:strCache>
                <c:ptCount val="1"/>
                <c:pt idx="0">
                  <c:v>Margen EBIT</c:v>
                </c:pt>
              </c:strCache>
            </c:strRef>
          </c:tx>
          <c:spPr>
            <a:ln w="20160">
              <a:solidFill>
                <a:srgbClr val="A84B2F"/>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0160">
                      <a:solidFill>
                        <a:srgbClr val="000000"/>
                      </a:solidFill>
                    </a:ln>
                  </c:spPr>
                </c15:leaderLines>
              </c:ext>
            </c:extLst>
          </c:dLbls>
          <c:cat>
            <c:numRef>
              <c:f>Indicadores!$C$5:$E$5</c:f>
              <c:numCache>
                <c:formatCode>General</c:formatCode>
                <c:ptCount val="3"/>
                <c:pt idx="0">
                  <c:v>2023</c:v>
                </c:pt>
                <c:pt idx="1">
                  <c:v>2024</c:v>
                </c:pt>
                <c:pt idx="2">
                  <c:v>2025</c:v>
                </c:pt>
              </c:numCache>
            </c:numRef>
          </c:cat>
          <c:val>
            <c:numRef>
              <c:f>Indicadores!$C$16:$E$16</c:f>
              <c:numCache>
                <c:formatCode>0.0%</c:formatCode>
                <c:ptCount val="3"/>
                <c:pt idx="0">
                  <c:v>0.15303030303030302</c:v>
                </c:pt>
                <c:pt idx="1">
                  <c:v>0.1357936507936508</c:v>
                </c:pt>
                <c:pt idx="2">
                  <c:v>0.11941666666666667</c:v>
                </c:pt>
              </c:numCache>
            </c:numRef>
          </c:val>
          <c:smooth val="0"/>
          <c:extLst>
            <c:ext xmlns:c16="http://schemas.microsoft.com/office/drawing/2014/chart" uri="{C3380CC4-5D6E-409C-BE32-E72D297353CC}">
              <c16:uniqueId val="{00000001-B605-4A17-A6F6-249542201B5C}"/>
            </c:ext>
          </c:extLst>
        </c:ser>
        <c:ser>
          <c:idx val="2"/>
          <c:order val="2"/>
          <c:tx>
            <c:strRef>
              <c:f>Indicadores!$B$17</c:f>
              <c:strCache>
                <c:ptCount val="1"/>
                <c:pt idx="0">
                  <c:v>Margen neto</c:v>
                </c:pt>
              </c:strCache>
            </c:strRef>
          </c:tx>
          <c:spPr>
            <a:ln w="20160">
              <a:solidFill>
                <a:srgbClr val="1B474D"/>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0160">
                      <a:solidFill>
                        <a:srgbClr val="000000"/>
                      </a:solidFill>
                    </a:ln>
                  </c:spPr>
                </c15:leaderLines>
              </c:ext>
            </c:extLst>
          </c:dLbls>
          <c:cat>
            <c:numRef>
              <c:f>Indicadores!$C$5:$E$5</c:f>
              <c:numCache>
                <c:formatCode>General</c:formatCode>
                <c:ptCount val="3"/>
                <c:pt idx="0">
                  <c:v>2023</c:v>
                </c:pt>
                <c:pt idx="1">
                  <c:v>2024</c:v>
                </c:pt>
                <c:pt idx="2">
                  <c:v>2025</c:v>
                </c:pt>
              </c:numCache>
            </c:numRef>
          </c:cat>
          <c:val>
            <c:numRef>
              <c:f>Indicadores!$C$17:$E$17</c:f>
              <c:numCache>
                <c:formatCode>0.0%</c:formatCode>
                <c:ptCount val="3"/>
                <c:pt idx="0">
                  <c:v>0.10037878787878787</c:v>
                </c:pt>
                <c:pt idx="1">
                  <c:v>8.9206349206349206E-2</c:v>
                </c:pt>
                <c:pt idx="2">
                  <c:v>7.8166666666666662E-2</c:v>
                </c:pt>
              </c:numCache>
            </c:numRef>
          </c:val>
          <c:smooth val="0"/>
          <c:extLst>
            <c:ext xmlns:c16="http://schemas.microsoft.com/office/drawing/2014/chart" uri="{C3380CC4-5D6E-409C-BE32-E72D297353CC}">
              <c16:uniqueId val="{00000002-B605-4A17-A6F6-249542201B5C}"/>
            </c:ext>
          </c:extLst>
        </c:ser>
        <c:ser>
          <c:idx val="3"/>
          <c:order val="3"/>
          <c:tx>
            <c:strRef>
              <c:f>Indicadores!$B$18</c:f>
              <c:strCache>
                <c:ptCount val="1"/>
                <c:pt idx="0">
                  <c:v>ROA (retorno sobre activos)</c:v>
                </c:pt>
              </c:strCache>
            </c:strRef>
          </c:tx>
          <c:spPr>
            <a:ln w="20160">
              <a:solidFill>
                <a:srgbClr val="BCE2E7"/>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0160">
                      <a:solidFill>
                        <a:srgbClr val="000000"/>
                      </a:solidFill>
                    </a:ln>
                  </c:spPr>
                </c15:leaderLines>
              </c:ext>
            </c:extLst>
          </c:dLbls>
          <c:cat>
            <c:numRef>
              <c:f>Indicadores!$C$5:$E$5</c:f>
              <c:numCache>
                <c:formatCode>General</c:formatCode>
                <c:ptCount val="3"/>
                <c:pt idx="0">
                  <c:v>2023</c:v>
                </c:pt>
                <c:pt idx="1">
                  <c:v>2024</c:v>
                </c:pt>
                <c:pt idx="2">
                  <c:v>2025</c:v>
                </c:pt>
              </c:numCache>
            </c:numRef>
          </c:cat>
          <c:val>
            <c:numRef>
              <c:f>Indicadores!$C$18:$E$18</c:f>
              <c:numCache>
                <c:formatCode>0.0%</c:formatCode>
                <c:ptCount val="3"/>
                <c:pt idx="0">
                  <c:v>0.18479776847977686</c:v>
                </c:pt>
                <c:pt idx="1">
                  <c:v>0.15611111111111112</c:v>
                </c:pt>
                <c:pt idx="2">
                  <c:v>0.13535353535353536</c:v>
                </c:pt>
              </c:numCache>
            </c:numRef>
          </c:val>
          <c:smooth val="0"/>
          <c:extLst>
            <c:ext xmlns:c16="http://schemas.microsoft.com/office/drawing/2014/chart" uri="{C3380CC4-5D6E-409C-BE32-E72D297353CC}">
              <c16:uniqueId val="{00000003-B605-4A17-A6F6-249542201B5C}"/>
            </c:ext>
          </c:extLst>
        </c:ser>
        <c:ser>
          <c:idx val="4"/>
          <c:order val="4"/>
          <c:tx>
            <c:strRef>
              <c:f>Indicadores!$B$19</c:f>
              <c:strCache>
                <c:ptCount val="1"/>
                <c:pt idx="0">
                  <c:v>ROE (retorno sobre patrimonio)</c:v>
                </c:pt>
              </c:strCache>
            </c:strRef>
          </c:tx>
          <c:spPr>
            <a:ln w="20160">
              <a:solidFill>
                <a:srgbClr val="944454"/>
              </a:solidFill>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0160">
                      <a:solidFill>
                        <a:srgbClr val="000000"/>
                      </a:solidFill>
                    </a:ln>
                  </c:spPr>
                </c15:leaderLines>
              </c:ext>
            </c:extLst>
          </c:dLbls>
          <c:cat>
            <c:numRef>
              <c:f>Indicadores!$C$5:$E$5</c:f>
              <c:numCache>
                <c:formatCode>General</c:formatCode>
                <c:ptCount val="3"/>
                <c:pt idx="0">
                  <c:v>2023</c:v>
                </c:pt>
                <c:pt idx="1">
                  <c:v>2024</c:v>
                </c:pt>
                <c:pt idx="2">
                  <c:v>2025</c:v>
                </c:pt>
              </c:numCache>
            </c:numRef>
          </c:cat>
          <c:val>
            <c:numRef>
              <c:f>Indicadores!$C$19:$E$19</c:f>
              <c:numCache>
                <c:formatCode>0.0%</c:formatCode>
                <c:ptCount val="3"/>
                <c:pt idx="0">
                  <c:v>0.21405492730210016</c:v>
                </c:pt>
                <c:pt idx="1">
                  <c:v>0.18306188925081432</c:v>
                </c:pt>
                <c:pt idx="2">
                  <c:v>0.17054545454545456</c:v>
                </c:pt>
              </c:numCache>
            </c:numRef>
          </c:val>
          <c:smooth val="0"/>
          <c:extLst>
            <c:ext xmlns:c16="http://schemas.microsoft.com/office/drawing/2014/chart" uri="{C3380CC4-5D6E-409C-BE32-E72D297353CC}">
              <c16:uniqueId val="{00000004-B605-4A17-A6F6-249542201B5C}"/>
            </c:ext>
          </c:extLst>
        </c:ser>
        <c:dLbls>
          <c:showLegendKey val="0"/>
          <c:showVal val="0"/>
          <c:showCatName val="0"/>
          <c:showSerName val="0"/>
          <c:showPercent val="0"/>
          <c:showBubbleSize val="0"/>
        </c:dLbls>
        <c:hiLowLines>
          <c:spPr>
            <a:ln w="0">
              <a:noFill/>
            </a:ln>
          </c:spPr>
        </c:hiLowLines>
        <c:smooth val="0"/>
        <c:axId val="30678189"/>
        <c:axId val="82463322"/>
      </c:lineChart>
      <c:catAx>
        <c:axId val="3067818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Año</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s-MX"/>
          </a:p>
        </c:txPr>
        <c:crossAx val="82463322"/>
        <c:crosses val="autoZero"/>
        <c:auto val="1"/>
        <c:lblAlgn val="ctr"/>
        <c:lblOffset val="100"/>
        <c:noMultiLvlLbl val="0"/>
      </c:catAx>
      <c:valAx>
        <c:axId val="8246332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s-MX"/>
          </a:p>
        </c:txPr>
        <c:crossAx val="3067818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s-MX"/>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Ciclo de conversión de efectivo y sus componentes (días)</a:t>
            </a:r>
          </a:p>
        </c:rich>
      </c:tx>
      <c:overlay val="0"/>
      <c:spPr>
        <a:noFill/>
        <a:ln w="0">
          <a:noFill/>
        </a:ln>
      </c:spPr>
    </c:title>
    <c:autoTitleDeleted val="0"/>
    <c:plotArea>
      <c:layout/>
      <c:barChart>
        <c:barDir val="col"/>
        <c:grouping val="clustered"/>
        <c:varyColors val="0"/>
        <c:ser>
          <c:idx val="0"/>
          <c:order val="0"/>
          <c:tx>
            <c:strRef>
              <c:f>Indicadores!$B$23</c:f>
              <c:strCache>
                <c:ptCount val="1"/>
                <c:pt idx="0">
                  <c:v>Días de inventario (DIO)</c:v>
                </c:pt>
              </c:strCache>
            </c:strRef>
          </c:tx>
          <c:spPr>
            <a:solidFill>
              <a:srgbClr val="20808D"/>
            </a:solidFill>
            <a:ln w="12600">
              <a:solidFill>
                <a:srgbClr val="F9F9F9"/>
              </a:solidFill>
              <a:round/>
            </a:ln>
          </c:spPr>
          <c:invertIfNegative val="0"/>
          <c:dLbls>
            <c:spPr>
              <a:noFill/>
              <a:ln>
                <a:noFill/>
              </a:ln>
              <a:effectLst/>
            </c:spPr>
            <c:txPr>
              <a:bodyPr wrap="square"/>
              <a:lstStyle/>
              <a:p>
                <a:pPr>
                  <a:defRPr sz="1000" b="0" u="none" strike="noStrike">
                    <a:solidFill>
                      <a:srgbClr val="000000"/>
                    </a:solidFill>
                    <a:uFillTx/>
                    <a:latin typeface="Arial"/>
                  </a:defRPr>
                </a:pPr>
                <a:endParaRPr lang="es-MX"/>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F9F9F9"/>
                      </a:solidFill>
                    </a:ln>
                  </c:spPr>
                </c15:leaderLines>
              </c:ext>
            </c:extLst>
          </c:dLbls>
          <c:cat>
            <c:numRef>
              <c:f>Indicadores!$C$5:$E$5</c:f>
              <c:numCache>
                <c:formatCode>General</c:formatCode>
                <c:ptCount val="3"/>
                <c:pt idx="0">
                  <c:v>2023</c:v>
                </c:pt>
                <c:pt idx="1">
                  <c:v>2024</c:v>
                </c:pt>
                <c:pt idx="2">
                  <c:v>2025</c:v>
                </c:pt>
              </c:numCache>
            </c:numRef>
          </c:cat>
          <c:val>
            <c:numRef>
              <c:f>Indicadores!$C$23:$E$23</c:f>
              <c:numCache>
                <c:formatCode>0.0</c:formatCode>
                <c:ptCount val="3"/>
                <c:pt idx="0">
                  <c:v>60.995989304812838</c:v>
                </c:pt>
                <c:pt idx="1">
                  <c:v>65.073613986657463</c:v>
                </c:pt>
                <c:pt idx="2">
                  <c:v>70.109338061465721</c:v>
                </c:pt>
              </c:numCache>
            </c:numRef>
          </c:val>
          <c:extLst>
            <c:ext xmlns:c16="http://schemas.microsoft.com/office/drawing/2014/chart" uri="{C3380CC4-5D6E-409C-BE32-E72D297353CC}">
              <c16:uniqueId val="{00000000-F6DF-4416-8B52-20C4DCD9B007}"/>
            </c:ext>
          </c:extLst>
        </c:ser>
        <c:ser>
          <c:idx val="1"/>
          <c:order val="1"/>
          <c:tx>
            <c:strRef>
              <c:f>Indicadores!$B$25</c:f>
              <c:strCache>
                <c:ptCount val="1"/>
                <c:pt idx="0">
                  <c:v>DSO (días de venta pendientes de cobro)</c:v>
                </c:pt>
              </c:strCache>
            </c:strRef>
          </c:tx>
          <c:spPr>
            <a:solidFill>
              <a:srgbClr val="A84B2F"/>
            </a:solidFill>
            <a:ln w="12600">
              <a:solidFill>
                <a:srgbClr val="F9F9F9"/>
              </a:solidFill>
              <a:round/>
            </a:ln>
          </c:spPr>
          <c:invertIfNegative val="0"/>
          <c:dLbls>
            <c:spPr>
              <a:noFill/>
              <a:ln>
                <a:noFill/>
              </a:ln>
              <a:effectLst/>
            </c:spPr>
            <c:txPr>
              <a:bodyPr wrap="square"/>
              <a:lstStyle/>
              <a:p>
                <a:pPr>
                  <a:defRPr sz="1000" b="0" u="none" strike="noStrike">
                    <a:solidFill>
                      <a:srgbClr val="000000"/>
                    </a:solidFill>
                    <a:uFillTx/>
                    <a:latin typeface="Arial"/>
                  </a:defRPr>
                </a:pPr>
                <a:endParaRPr lang="es-MX"/>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F9F9F9"/>
                      </a:solidFill>
                    </a:ln>
                  </c:spPr>
                </c15:leaderLines>
              </c:ext>
            </c:extLst>
          </c:dLbls>
          <c:cat>
            <c:numRef>
              <c:f>Indicadores!$C$5:$E$5</c:f>
              <c:numCache>
                <c:formatCode>General</c:formatCode>
                <c:ptCount val="3"/>
                <c:pt idx="0">
                  <c:v>2023</c:v>
                </c:pt>
                <c:pt idx="1">
                  <c:v>2024</c:v>
                </c:pt>
                <c:pt idx="2">
                  <c:v>2025</c:v>
                </c:pt>
              </c:numCache>
            </c:numRef>
          </c:cat>
          <c:val>
            <c:numRef>
              <c:f>Indicadores!$C$25:$E$25</c:f>
              <c:numCache>
                <c:formatCode>0.0</c:formatCode>
                <c:ptCount val="3"/>
                <c:pt idx="0">
                  <c:v>106.18181818181819</c:v>
                </c:pt>
                <c:pt idx="1">
                  <c:v>109.93452380952381</c:v>
                </c:pt>
                <c:pt idx="2">
                  <c:v>111.78125</c:v>
                </c:pt>
              </c:numCache>
            </c:numRef>
          </c:val>
          <c:extLst>
            <c:ext xmlns:c16="http://schemas.microsoft.com/office/drawing/2014/chart" uri="{C3380CC4-5D6E-409C-BE32-E72D297353CC}">
              <c16:uniqueId val="{00000001-F6DF-4416-8B52-20C4DCD9B007}"/>
            </c:ext>
          </c:extLst>
        </c:ser>
        <c:ser>
          <c:idx val="2"/>
          <c:order val="2"/>
          <c:tx>
            <c:strRef>
              <c:f>Indicadores!$B$27</c:f>
              <c:strCache>
                <c:ptCount val="1"/>
                <c:pt idx="0">
                  <c:v>DPO (días de pago a proveedores)</c:v>
                </c:pt>
              </c:strCache>
            </c:strRef>
          </c:tx>
          <c:spPr>
            <a:solidFill>
              <a:srgbClr val="848456"/>
            </a:solidFill>
            <a:ln w="12600">
              <a:solidFill>
                <a:srgbClr val="F9F9F9"/>
              </a:solidFill>
              <a:round/>
            </a:ln>
          </c:spPr>
          <c:invertIfNegative val="0"/>
          <c:dLbls>
            <c:spPr>
              <a:noFill/>
              <a:ln>
                <a:noFill/>
              </a:ln>
              <a:effectLst/>
            </c:spPr>
            <c:txPr>
              <a:bodyPr wrap="square"/>
              <a:lstStyle/>
              <a:p>
                <a:pPr>
                  <a:defRPr sz="1000" b="0" u="none" strike="noStrike">
                    <a:solidFill>
                      <a:srgbClr val="000000"/>
                    </a:solidFill>
                    <a:uFillTx/>
                    <a:latin typeface="Arial"/>
                  </a:defRPr>
                </a:pPr>
                <a:endParaRPr lang="es-MX"/>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F9F9F9"/>
                      </a:solidFill>
                    </a:ln>
                  </c:spPr>
                </c15:leaderLines>
              </c:ext>
            </c:extLst>
          </c:dLbls>
          <c:cat>
            <c:numRef>
              <c:f>Indicadores!$C$5:$E$5</c:f>
              <c:numCache>
                <c:formatCode>General</c:formatCode>
                <c:ptCount val="3"/>
                <c:pt idx="0">
                  <c:v>2023</c:v>
                </c:pt>
                <c:pt idx="1">
                  <c:v>2024</c:v>
                </c:pt>
                <c:pt idx="2">
                  <c:v>2025</c:v>
                </c:pt>
              </c:numCache>
            </c:numRef>
          </c:cat>
          <c:val>
            <c:numRef>
              <c:f>Indicadores!$C$27:$E$27</c:f>
              <c:numCache>
                <c:formatCode>0.0</c:formatCode>
                <c:ptCount val="3"/>
                <c:pt idx="0">
                  <c:v>20.331996434937608</c:v>
                </c:pt>
                <c:pt idx="1">
                  <c:v>20.991488382792728</c:v>
                </c:pt>
                <c:pt idx="2">
                  <c:v>21.140661938534279</c:v>
                </c:pt>
              </c:numCache>
            </c:numRef>
          </c:val>
          <c:extLst>
            <c:ext xmlns:c16="http://schemas.microsoft.com/office/drawing/2014/chart" uri="{C3380CC4-5D6E-409C-BE32-E72D297353CC}">
              <c16:uniqueId val="{00000002-F6DF-4416-8B52-20C4DCD9B007}"/>
            </c:ext>
          </c:extLst>
        </c:ser>
        <c:dLbls>
          <c:showLegendKey val="0"/>
          <c:showVal val="0"/>
          <c:showCatName val="0"/>
          <c:showSerName val="0"/>
          <c:showPercent val="0"/>
          <c:showBubbleSize val="0"/>
        </c:dLbls>
        <c:gapWidth val="150"/>
        <c:axId val="18993568"/>
        <c:axId val="8932694"/>
      </c:barChart>
      <c:lineChart>
        <c:grouping val="standard"/>
        <c:varyColors val="0"/>
        <c:ser>
          <c:idx val="3"/>
          <c:order val="3"/>
          <c:tx>
            <c:strRef>
              <c:f>Indicadores!$B$28</c:f>
              <c:strCache>
                <c:ptCount val="1"/>
                <c:pt idx="0">
                  <c:v>Ciclo de conversión de efectivo (días)</c:v>
                </c:pt>
              </c:strCache>
            </c:strRef>
          </c:tx>
          <c:spPr>
            <a:ln w="24840">
              <a:solidFill>
                <a:srgbClr val="1B474D"/>
              </a:solidFill>
              <a:round/>
            </a:ln>
          </c:spPr>
          <c:marker>
            <c:symbol val="circle"/>
            <c:size val="7"/>
            <c:spPr>
              <a:solidFill>
                <a:srgbClr val="1B474D"/>
              </a:solidFill>
            </c:spPr>
          </c:marker>
          <c:dLbls>
            <c:spPr>
              <a:noFill/>
              <a:ln>
                <a:noFill/>
              </a:ln>
              <a:effectLst/>
            </c:spPr>
            <c:txPr>
              <a:bodyPr wrap="square"/>
              <a:lstStyle/>
              <a:p>
                <a:pPr>
                  <a:defRPr sz="1000" b="0" u="none" strike="noStrike">
                    <a:solidFill>
                      <a:srgbClr val="000000"/>
                    </a:solidFill>
                    <a:uFillTx/>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4840">
                      <a:solidFill>
                        <a:srgbClr val="000000"/>
                      </a:solidFill>
                    </a:ln>
                  </c:spPr>
                </c15:leaderLines>
              </c:ext>
            </c:extLst>
          </c:dLbls>
          <c:cat>
            <c:numRef>
              <c:f>Indicadores!$C$5:$E$5</c:f>
              <c:numCache>
                <c:formatCode>General</c:formatCode>
                <c:ptCount val="3"/>
                <c:pt idx="0">
                  <c:v>2023</c:v>
                </c:pt>
                <c:pt idx="1">
                  <c:v>2024</c:v>
                </c:pt>
                <c:pt idx="2">
                  <c:v>2025</c:v>
                </c:pt>
              </c:numCache>
            </c:numRef>
          </c:cat>
          <c:val>
            <c:numRef>
              <c:f>Indicadores!$C$28:$E$28</c:f>
              <c:numCache>
                <c:formatCode>0.0</c:formatCode>
                <c:ptCount val="3"/>
                <c:pt idx="0">
                  <c:v>146.84581105169343</c:v>
                </c:pt>
                <c:pt idx="1">
                  <c:v>154.01664941338854</c:v>
                </c:pt>
                <c:pt idx="2">
                  <c:v>160.74992612293147</c:v>
                </c:pt>
              </c:numCache>
            </c:numRef>
          </c:val>
          <c:smooth val="1"/>
          <c:extLst>
            <c:ext xmlns:c16="http://schemas.microsoft.com/office/drawing/2014/chart" uri="{C3380CC4-5D6E-409C-BE32-E72D297353CC}">
              <c16:uniqueId val="{00000003-F6DF-4416-8B52-20C4DCD9B007}"/>
            </c:ext>
          </c:extLst>
        </c:ser>
        <c:dLbls>
          <c:showLegendKey val="0"/>
          <c:showVal val="0"/>
          <c:showCatName val="0"/>
          <c:showSerName val="0"/>
          <c:showPercent val="0"/>
          <c:showBubbleSize val="0"/>
        </c:dLbls>
        <c:hiLowLines>
          <c:spPr>
            <a:ln w="0">
              <a:noFill/>
            </a:ln>
          </c:spPr>
        </c:hiLowLines>
        <c:marker val="1"/>
        <c:smooth val="0"/>
        <c:axId val="93384750"/>
        <c:axId val="37747953"/>
      </c:lineChart>
      <c:catAx>
        <c:axId val="18993568"/>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Año</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s-MX"/>
          </a:p>
        </c:txPr>
        <c:crossAx val="8932694"/>
        <c:crosses val="autoZero"/>
        <c:auto val="1"/>
        <c:lblAlgn val="ctr"/>
        <c:lblOffset val="100"/>
        <c:noMultiLvlLbl val="0"/>
      </c:catAx>
      <c:valAx>
        <c:axId val="8932694"/>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Días</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s-MX"/>
          </a:p>
        </c:txPr>
        <c:crossAx val="18993568"/>
        <c:crosses val="autoZero"/>
        <c:crossBetween val="between"/>
      </c:valAx>
      <c:catAx>
        <c:axId val="93384750"/>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Año</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s-MX"/>
          </a:p>
        </c:txPr>
        <c:crossAx val="37747953"/>
        <c:crosses val="autoZero"/>
        <c:auto val="1"/>
        <c:lblAlgn val="ctr"/>
        <c:lblOffset val="100"/>
        <c:noMultiLvlLbl val="0"/>
      </c:catAx>
      <c:valAx>
        <c:axId val="37747953"/>
        <c:scaling>
          <c:orientation val="minMax"/>
        </c:scaling>
        <c:delete val="0"/>
        <c:axPos val="r"/>
        <c:title>
          <c:tx>
            <c:rich>
              <a:bodyPr rot="-5400000"/>
              <a:lstStyle/>
              <a:p>
                <a:pPr>
                  <a:defRPr sz="1300" b="0" u="none" strike="noStrike">
                    <a:uFillTx/>
                    <a:latin typeface="Arial"/>
                  </a:defRPr>
                </a:pPr>
                <a:r>
                  <a:rPr sz="1000" b="1" u="none" strike="noStrike">
                    <a:solidFill>
                      <a:srgbClr val="000000"/>
                    </a:solidFill>
                    <a:uFillTx/>
                    <a:latin typeface="Calibri"/>
                  </a:rPr>
                  <a:t>CCE (días)</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s-MX"/>
          </a:p>
        </c:txPr>
        <c:crossAx val="93384750"/>
        <c:crosses val="max"/>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s-MX"/>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Z-Score de Altman por año (2023-2025) con cortes de clasificación</a:t>
            </a:r>
          </a:p>
        </c:rich>
      </c:tx>
      <c:overlay val="0"/>
      <c:spPr>
        <a:noFill/>
        <a:ln w="0">
          <a:noFill/>
        </a:ln>
      </c:spPr>
    </c:title>
    <c:autoTitleDeleted val="0"/>
    <c:plotArea>
      <c:layout/>
      <c:barChart>
        <c:barDir val="col"/>
        <c:grouping val="clustered"/>
        <c:varyColors val="0"/>
        <c:ser>
          <c:idx val="0"/>
          <c:order val="0"/>
          <c:tx>
            <c:strRef>
              <c:f>Altman_Z!$B$26</c:f>
              <c:strCache>
                <c:ptCount val="1"/>
                <c:pt idx="0">
                  <c:v>Z-Score</c:v>
                </c:pt>
              </c:strCache>
            </c:strRef>
          </c:tx>
          <c:spPr>
            <a:solidFill>
              <a:srgbClr val="20808D"/>
            </a:solidFill>
            <a:ln w="12600">
              <a:solidFill>
                <a:srgbClr val="F9F9F9"/>
              </a:solidFill>
              <a:round/>
            </a:ln>
          </c:spPr>
          <c:invertIfNegative val="0"/>
          <c:dLbls>
            <c:spPr>
              <a:noFill/>
              <a:ln>
                <a:noFill/>
              </a:ln>
              <a:effectLst/>
            </c:spPr>
            <c:txPr>
              <a:bodyPr wrap="square"/>
              <a:lstStyle/>
              <a:p>
                <a:pPr>
                  <a:defRPr sz="1000" b="0" u="none" strike="noStrike">
                    <a:solidFill>
                      <a:srgbClr val="000000"/>
                    </a:solidFill>
                    <a:uFillTx/>
                    <a:latin typeface="Arial"/>
                  </a:defRPr>
                </a:pPr>
                <a:endParaRPr lang="es-MX"/>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F9F9F9"/>
                      </a:solidFill>
                    </a:ln>
                  </c:spPr>
                </c15:leaderLines>
              </c:ext>
            </c:extLst>
          </c:dLbls>
          <c:cat>
            <c:numRef>
              <c:f>Altman_Z!$C$5:$E$5</c:f>
              <c:numCache>
                <c:formatCode>General</c:formatCode>
                <c:ptCount val="3"/>
                <c:pt idx="0">
                  <c:v>2023</c:v>
                </c:pt>
                <c:pt idx="1">
                  <c:v>2024</c:v>
                </c:pt>
                <c:pt idx="2">
                  <c:v>2025</c:v>
                </c:pt>
              </c:numCache>
            </c:numRef>
          </c:cat>
          <c:val>
            <c:numRef>
              <c:f>Altman_Z!$C$26:$E$26</c:f>
              <c:numCache>
                <c:formatCode>0.00</c:formatCode>
                <c:ptCount val="3"/>
                <c:pt idx="0">
                  <c:v>8.3376341331511679</c:v>
                </c:pt>
                <c:pt idx="1">
                  <c:v>7.7646800314465407</c:v>
                </c:pt>
                <c:pt idx="2">
                  <c:v>6.3066677766677763</c:v>
                </c:pt>
              </c:numCache>
            </c:numRef>
          </c:val>
          <c:extLst>
            <c:ext xmlns:c16="http://schemas.microsoft.com/office/drawing/2014/chart" uri="{C3380CC4-5D6E-409C-BE32-E72D297353CC}">
              <c16:uniqueId val="{00000000-53EE-4451-BD84-6FF6F297FE7A}"/>
            </c:ext>
          </c:extLst>
        </c:ser>
        <c:dLbls>
          <c:showLegendKey val="0"/>
          <c:showVal val="0"/>
          <c:showCatName val="0"/>
          <c:showSerName val="0"/>
          <c:showPercent val="0"/>
          <c:showBubbleSize val="0"/>
        </c:dLbls>
        <c:gapWidth val="150"/>
        <c:axId val="22475977"/>
        <c:axId val="71482694"/>
      </c:barChart>
      <c:lineChart>
        <c:grouping val="standard"/>
        <c:varyColors val="0"/>
        <c:ser>
          <c:idx val="1"/>
          <c:order val="1"/>
          <c:tx>
            <c:strRef>
              <c:f>Altman_Z!$B$36</c:f>
              <c:strCache>
                <c:ptCount val="1"/>
                <c:pt idx="0">
                  <c:v>Corte zona segura (2.99)</c:v>
                </c:pt>
              </c:strCache>
            </c:strRef>
          </c:tx>
          <c:spPr>
            <a:ln w="15120">
              <a:solidFill>
                <a:srgbClr val="437A22"/>
              </a:solidFill>
              <a:prstDash val="dash"/>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5120">
                      <a:solidFill>
                        <a:srgbClr val="000000"/>
                      </a:solidFill>
                      <a:prstDash val="dash"/>
                    </a:ln>
                  </c:spPr>
                </c15:leaderLines>
              </c:ext>
            </c:extLst>
          </c:dLbls>
          <c:cat>
            <c:numRef>
              <c:f>Altman_Z!$C$5:$E$5</c:f>
              <c:numCache>
                <c:formatCode>General</c:formatCode>
                <c:ptCount val="3"/>
                <c:pt idx="0">
                  <c:v>2023</c:v>
                </c:pt>
                <c:pt idx="1">
                  <c:v>2024</c:v>
                </c:pt>
                <c:pt idx="2">
                  <c:v>2025</c:v>
                </c:pt>
              </c:numCache>
            </c:numRef>
          </c:cat>
          <c:val>
            <c:numRef>
              <c:f>Altman_Z!$C$36:$E$36</c:f>
              <c:numCache>
                <c:formatCode>0.00</c:formatCode>
                <c:ptCount val="3"/>
                <c:pt idx="0">
                  <c:v>2.99</c:v>
                </c:pt>
                <c:pt idx="1">
                  <c:v>2.99</c:v>
                </c:pt>
                <c:pt idx="2">
                  <c:v>2.99</c:v>
                </c:pt>
              </c:numCache>
            </c:numRef>
          </c:val>
          <c:smooth val="0"/>
          <c:extLst>
            <c:ext xmlns:c16="http://schemas.microsoft.com/office/drawing/2014/chart" uri="{C3380CC4-5D6E-409C-BE32-E72D297353CC}">
              <c16:uniqueId val="{00000001-53EE-4451-BD84-6FF6F297FE7A}"/>
            </c:ext>
          </c:extLst>
        </c:ser>
        <c:ser>
          <c:idx val="2"/>
          <c:order val="2"/>
          <c:tx>
            <c:strRef>
              <c:f>Altman_Z!$B$37</c:f>
              <c:strCache>
                <c:ptCount val="1"/>
                <c:pt idx="0">
                  <c:v>Corte zona gris (1.81)</c:v>
                </c:pt>
              </c:strCache>
            </c:strRef>
          </c:tx>
          <c:spPr>
            <a:ln w="15120">
              <a:solidFill>
                <a:srgbClr val="964219"/>
              </a:solidFill>
              <a:prstDash val="dash"/>
              <a:round/>
            </a:ln>
          </c:spPr>
          <c:marker>
            <c:symbol val="none"/>
          </c:marker>
          <c:dLbls>
            <c:spPr>
              <a:noFill/>
              <a:ln>
                <a:noFill/>
              </a:ln>
              <a:effectLst/>
            </c:spPr>
            <c:txPr>
              <a:bodyPr wrap="square"/>
              <a:lstStyle/>
              <a:p>
                <a:pPr>
                  <a:defRPr sz="1000" b="0" u="none" strike="noStrike">
                    <a:solidFill>
                      <a:srgbClr val="000000"/>
                    </a:solidFill>
                    <a:uFillTx/>
                    <a:latin typeface="Arial"/>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5120">
                      <a:solidFill>
                        <a:srgbClr val="000000"/>
                      </a:solidFill>
                      <a:prstDash val="dash"/>
                    </a:ln>
                  </c:spPr>
                </c15:leaderLines>
              </c:ext>
            </c:extLst>
          </c:dLbls>
          <c:cat>
            <c:numRef>
              <c:f>Altman_Z!$C$5:$E$5</c:f>
              <c:numCache>
                <c:formatCode>General</c:formatCode>
                <c:ptCount val="3"/>
                <c:pt idx="0">
                  <c:v>2023</c:v>
                </c:pt>
                <c:pt idx="1">
                  <c:v>2024</c:v>
                </c:pt>
                <c:pt idx="2">
                  <c:v>2025</c:v>
                </c:pt>
              </c:numCache>
            </c:numRef>
          </c:cat>
          <c:val>
            <c:numRef>
              <c:f>Altman_Z!$C$37:$E$37</c:f>
              <c:numCache>
                <c:formatCode>0.00</c:formatCode>
                <c:ptCount val="3"/>
                <c:pt idx="0">
                  <c:v>1.81</c:v>
                </c:pt>
                <c:pt idx="1">
                  <c:v>1.81</c:v>
                </c:pt>
                <c:pt idx="2">
                  <c:v>1.81</c:v>
                </c:pt>
              </c:numCache>
            </c:numRef>
          </c:val>
          <c:smooth val="0"/>
          <c:extLst>
            <c:ext xmlns:c16="http://schemas.microsoft.com/office/drawing/2014/chart" uri="{C3380CC4-5D6E-409C-BE32-E72D297353CC}">
              <c16:uniqueId val="{00000002-53EE-4451-BD84-6FF6F297FE7A}"/>
            </c:ext>
          </c:extLst>
        </c:ser>
        <c:dLbls>
          <c:showLegendKey val="0"/>
          <c:showVal val="0"/>
          <c:showCatName val="0"/>
          <c:showSerName val="0"/>
          <c:showPercent val="0"/>
          <c:showBubbleSize val="0"/>
        </c:dLbls>
        <c:hiLowLines>
          <c:spPr>
            <a:ln w="0">
              <a:noFill/>
            </a:ln>
          </c:spPr>
        </c:hiLowLines>
        <c:marker val="1"/>
        <c:smooth val="0"/>
        <c:axId val="22475977"/>
        <c:axId val="71482694"/>
      </c:lineChart>
      <c:catAx>
        <c:axId val="22475977"/>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Año</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s-MX"/>
          </a:p>
        </c:txPr>
        <c:crossAx val="71482694"/>
        <c:crosses val="autoZero"/>
        <c:auto val="1"/>
        <c:lblAlgn val="ctr"/>
        <c:lblOffset val="100"/>
        <c:noMultiLvlLbl val="0"/>
      </c:catAx>
      <c:valAx>
        <c:axId val="71482694"/>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Z-Score</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s-MX"/>
          </a:p>
        </c:txPr>
        <c:crossAx val="22475977"/>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s-MX"/>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8</xdr:col>
      <xdr:colOff>22320</xdr:colOff>
      <xdr:row>55</xdr:row>
      <xdr:rowOff>146880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6</xdr:col>
      <xdr:colOff>1346400</xdr:colOff>
      <xdr:row>56</xdr:row>
      <xdr:rowOff>167760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60</xdr:row>
      <xdr:rowOff>0</xdr:rowOff>
    </xdr:from>
    <xdr:to>
      <xdr:col>6</xdr:col>
      <xdr:colOff>1346400</xdr:colOff>
      <xdr:row>78</xdr:row>
      <xdr:rowOff>167760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82</xdr:row>
      <xdr:rowOff>0</xdr:rowOff>
    </xdr:from>
    <xdr:to>
      <xdr:col>6</xdr:col>
      <xdr:colOff>1346400</xdr:colOff>
      <xdr:row>100</xdr:row>
      <xdr:rowOff>167760</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39</xdr:row>
      <xdr:rowOff>0</xdr:rowOff>
    </xdr:from>
    <xdr:to>
      <xdr:col>6</xdr:col>
      <xdr:colOff>173160</xdr:colOff>
      <xdr:row>59</xdr:row>
      <xdr:rowOff>146520</xdr:rowOff>
    </xdr:to>
    <xdr:graphicFrame macro="">
      <xdr:nvGraphicFramePr>
        <xdr:cNvPr id="5" name="Chart 1">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474D"/>
    <pageSetUpPr fitToPage="1"/>
  </sheetPr>
  <dimension ref="A1:I59"/>
  <sheetViews>
    <sheetView showGridLines="0" tabSelected="1" zoomScaleNormal="100" workbookViewId="0">
      <pane xSplit="1" ySplit="2" topLeftCell="B3" activePane="bottomRight" state="frozen"/>
      <selection pane="topRight" activeCell="B1" sqref="B1"/>
      <selection pane="bottomLeft" activeCell="A3" sqref="A3"/>
      <selection pane="bottomRight" activeCell="K11" sqref="K11"/>
    </sheetView>
  </sheetViews>
  <sheetFormatPr baseColWidth="10" defaultColWidth="8.7109375" defaultRowHeight="15" x14ac:dyDescent="0.25"/>
  <cols>
    <col min="1" max="2" width="3" customWidth="1"/>
    <col min="3" max="3" width="32" customWidth="1"/>
    <col min="4" max="9" width="17" customWidth="1"/>
  </cols>
  <sheetData>
    <row r="1" spans="1:9" ht="7.5" customHeight="1" x14ac:dyDescent="0.25">
      <c r="A1" s="15"/>
      <c r="B1" s="15"/>
      <c r="C1" s="15"/>
      <c r="D1" s="15"/>
      <c r="E1" s="15"/>
      <c r="F1" s="15"/>
      <c r="G1" s="15"/>
      <c r="H1" s="15"/>
      <c r="I1" s="15"/>
    </row>
    <row r="2" spans="1:9" ht="27.75" customHeight="1" x14ac:dyDescent="0.25">
      <c r="A2" s="15"/>
      <c r="B2" s="14" t="s">
        <v>0</v>
      </c>
      <c r="C2" s="14"/>
      <c r="D2" s="14"/>
      <c r="E2" s="14"/>
      <c r="F2" s="14"/>
      <c r="G2" s="14"/>
      <c r="H2" s="14"/>
      <c r="I2" s="14"/>
    </row>
    <row r="3" spans="1:9" ht="18" customHeight="1" x14ac:dyDescent="0.25">
      <c r="A3" s="15"/>
      <c r="B3" s="13" t="s">
        <v>1</v>
      </c>
      <c r="C3" s="13"/>
      <c r="D3" s="13"/>
      <c r="E3" s="13"/>
      <c r="F3" s="13"/>
      <c r="G3" s="13"/>
      <c r="H3" s="13"/>
      <c r="I3" s="13"/>
    </row>
    <row r="4" spans="1:9" ht="15" customHeight="1" x14ac:dyDescent="0.25">
      <c r="A4" s="15"/>
      <c r="B4" s="15"/>
      <c r="C4" s="15"/>
      <c r="D4" s="15"/>
      <c r="E4" s="15"/>
      <c r="F4" s="15"/>
      <c r="G4" s="15"/>
      <c r="H4" s="15"/>
      <c r="I4" s="15"/>
    </row>
    <row r="5" spans="1:9" ht="15" customHeight="1" x14ac:dyDescent="0.25">
      <c r="A5" s="15"/>
      <c r="B5" s="15"/>
      <c r="C5" s="12" t="s">
        <v>2</v>
      </c>
      <c r="D5" s="12"/>
      <c r="E5" s="12"/>
      <c r="F5" s="12"/>
      <c r="G5" s="12"/>
      <c r="H5" s="12"/>
      <c r="I5" s="12"/>
    </row>
    <row r="6" spans="1:9" ht="15" customHeight="1" x14ac:dyDescent="0.25">
      <c r="A6" s="15"/>
      <c r="B6" s="15"/>
      <c r="C6" s="11" t="s">
        <v>3</v>
      </c>
      <c r="D6" s="11"/>
      <c r="E6" s="11"/>
      <c r="F6" s="11"/>
      <c r="G6" s="11"/>
      <c r="H6" s="11"/>
      <c r="I6" s="11"/>
    </row>
    <row r="7" spans="1:9" ht="15" customHeight="1" x14ac:dyDescent="0.25">
      <c r="A7" s="15"/>
      <c r="B7" s="15"/>
      <c r="C7" s="11"/>
      <c r="D7" s="11"/>
      <c r="E7" s="11"/>
      <c r="F7" s="11"/>
      <c r="G7" s="11"/>
      <c r="H7" s="11"/>
      <c r="I7" s="11"/>
    </row>
    <row r="8" spans="1:9" ht="15" customHeight="1" x14ac:dyDescent="0.25">
      <c r="A8" s="15"/>
      <c r="B8" s="15"/>
      <c r="C8" s="11"/>
      <c r="D8" s="11"/>
      <c r="E8" s="11"/>
      <c r="F8" s="11"/>
      <c r="G8" s="11"/>
      <c r="H8" s="11"/>
      <c r="I8" s="11"/>
    </row>
    <row r="9" spans="1:9" ht="15" customHeight="1" x14ac:dyDescent="0.25">
      <c r="A9" s="15"/>
      <c r="B9" s="15"/>
      <c r="C9" s="15"/>
      <c r="D9" s="15"/>
      <c r="E9" s="15"/>
      <c r="F9" s="15"/>
      <c r="G9" s="15"/>
      <c r="H9" s="15"/>
      <c r="I9" s="15"/>
    </row>
    <row r="10" spans="1:9" ht="15" customHeight="1" x14ac:dyDescent="0.25">
      <c r="A10" s="15"/>
      <c r="B10" s="15"/>
      <c r="C10" s="12" t="s">
        <v>4</v>
      </c>
      <c r="D10" s="12"/>
      <c r="E10" s="12"/>
      <c r="F10" s="12"/>
      <c r="G10" s="12"/>
      <c r="H10" s="12"/>
      <c r="I10" s="12"/>
    </row>
    <row r="11" spans="1:9" ht="15" customHeight="1" x14ac:dyDescent="0.25">
      <c r="A11" s="15"/>
      <c r="B11" s="15"/>
      <c r="C11" s="10" t="s">
        <v>5</v>
      </c>
      <c r="D11" s="10"/>
      <c r="E11" s="10"/>
      <c r="F11" s="10"/>
      <c r="G11" s="10"/>
      <c r="H11" s="10"/>
      <c r="I11" s="10"/>
    </row>
    <row r="12" spans="1:9" ht="15" customHeight="1" x14ac:dyDescent="0.25">
      <c r="A12" s="15"/>
      <c r="B12" s="15"/>
      <c r="C12" s="11" t="s">
        <v>6</v>
      </c>
      <c r="D12" s="11"/>
      <c r="E12" s="11"/>
      <c r="F12" s="11"/>
      <c r="G12" s="11"/>
      <c r="H12" s="11"/>
      <c r="I12" s="11"/>
    </row>
    <row r="13" spans="1:9" ht="15" customHeight="1" x14ac:dyDescent="0.25">
      <c r="A13" s="15"/>
      <c r="B13" s="15"/>
      <c r="C13" s="11"/>
      <c r="D13" s="11"/>
      <c r="E13" s="11"/>
      <c r="F13" s="11"/>
      <c r="G13" s="11"/>
      <c r="H13" s="11"/>
      <c r="I13" s="11"/>
    </row>
    <row r="14" spans="1:9" ht="15" customHeight="1" x14ac:dyDescent="0.25">
      <c r="A14" s="15"/>
      <c r="B14" s="15"/>
      <c r="C14" s="15"/>
      <c r="D14" s="15"/>
      <c r="E14" s="15"/>
      <c r="F14" s="15"/>
      <c r="G14" s="15"/>
      <c r="H14" s="15"/>
      <c r="I14" s="15"/>
    </row>
    <row r="15" spans="1:9" ht="15" customHeight="1" x14ac:dyDescent="0.25">
      <c r="A15" s="15"/>
      <c r="B15" s="15"/>
      <c r="C15" s="10" t="s">
        <v>7</v>
      </c>
      <c r="D15" s="10"/>
      <c r="E15" s="10"/>
      <c r="F15" s="10"/>
      <c r="G15" s="10"/>
      <c r="H15" s="10"/>
      <c r="I15" s="10"/>
    </row>
    <row r="16" spans="1:9" ht="15" customHeight="1" x14ac:dyDescent="0.25">
      <c r="A16" s="15"/>
      <c r="B16" s="15"/>
      <c r="C16" s="11" t="s">
        <v>8</v>
      </c>
      <c r="D16" s="11"/>
      <c r="E16" s="11"/>
      <c r="F16" s="11"/>
      <c r="G16" s="11"/>
      <c r="H16" s="11"/>
      <c r="I16" s="11"/>
    </row>
    <row r="17" spans="1:9" ht="15" customHeight="1" x14ac:dyDescent="0.25">
      <c r="A17" s="15"/>
      <c r="B17" s="15"/>
      <c r="C17" s="11"/>
      <c r="D17" s="11"/>
      <c r="E17" s="11"/>
      <c r="F17" s="11"/>
      <c r="G17" s="11"/>
      <c r="H17" s="11"/>
      <c r="I17" s="11"/>
    </row>
    <row r="18" spans="1:9" ht="15" customHeight="1" x14ac:dyDescent="0.25">
      <c r="A18" s="15"/>
      <c r="B18" s="15"/>
      <c r="C18" s="15"/>
      <c r="D18" s="15"/>
      <c r="E18" s="15"/>
      <c r="F18" s="15"/>
      <c r="G18" s="15"/>
      <c r="H18" s="15"/>
      <c r="I18" s="15"/>
    </row>
    <row r="19" spans="1:9" ht="15" customHeight="1" x14ac:dyDescent="0.25">
      <c r="A19" s="15"/>
      <c r="B19" s="15"/>
      <c r="C19" s="10" t="s">
        <v>9</v>
      </c>
      <c r="D19" s="10"/>
      <c r="E19" s="10"/>
      <c r="F19" s="10"/>
      <c r="G19" s="10"/>
      <c r="H19" s="10"/>
      <c r="I19" s="10"/>
    </row>
    <row r="20" spans="1:9" ht="15" customHeight="1" x14ac:dyDescent="0.25">
      <c r="A20" s="15"/>
      <c r="B20" s="15"/>
      <c r="C20" s="11" t="s">
        <v>10</v>
      </c>
      <c r="D20" s="11"/>
      <c r="E20" s="11"/>
      <c r="F20" s="11"/>
      <c r="G20" s="11"/>
      <c r="H20" s="11"/>
      <c r="I20" s="11"/>
    </row>
    <row r="21" spans="1:9" ht="15" customHeight="1" x14ac:dyDescent="0.25">
      <c r="A21" s="15"/>
      <c r="B21" s="15"/>
      <c r="C21" s="11"/>
      <c r="D21" s="11"/>
      <c r="E21" s="11"/>
      <c r="F21" s="11"/>
      <c r="G21" s="11"/>
      <c r="H21" s="11"/>
      <c r="I21" s="11"/>
    </row>
    <row r="22" spans="1:9" ht="15" customHeight="1" x14ac:dyDescent="0.25">
      <c r="A22" s="15"/>
      <c r="B22" s="15"/>
      <c r="C22" s="15"/>
      <c r="D22" s="15"/>
      <c r="E22" s="15"/>
      <c r="F22" s="15"/>
      <c r="G22" s="15"/>
      <c r="H22" s="15"/>
      <c r="I22" s="15"/>
    </row>
    <row r="23" spans="1:9" ht="15" customHeight="1" x14ac:dyDescent="0.25">
      <c r="A23" s="15"/>
      <c r="B23" s="15"/>
      <c r="C23" s="10" t="s">
        <v>11</v>
      </c>
      <c r="D23" s="10"/>
      <c r="E23" s="10"/>
      <c r="F23" s="10"/>
      <c r="G23" s="10"/>
      <c r="H23" s="10"/>
      <c r="I23" s="10"/>
    </row>
    <row r="24" spans="1:9" ht="15" customHeight="1" x14ac:dyDescent="0.25">
      <c r="A24" s="15"/>
      <c r="B24" s="15"/>
      <c r="C24" s="11" t="s">
        <v>12</v>
      </c>
      <c r="D24" s="11"/>
      <c r="E24" s="11"/>
      <c r="F24" s="11"/>
      <c r="G24" s="11"/>
      <c r="H24" s="11"/>
      <c r="I24" s="11"/>
    </row>
    <row r="25" spans="1:9" ht="15" customHeight="1" x14ac:dyDescent="0.25">
      <c r="A25" s="15"/>
      <c r="B25" s="15"/>
      <c r="C25" s="11"/>
      <c r="D25" s="11"/>
      <c r="E25" s="11"/>
      <c r="F25" s="11"/>
      <c r="G25" s="11"/>
      <c r="H25" s="11"/>
      <c r="I25" s="11"/>
    </row>
    <row r="26" spans="1:9" ht="15" customHeight="1" x14ac:dyDescent="0.25">
      <c r="A26" s="15"/>
      <c r="B26" s="15"/>
      <c r="C26" s="15"/>
      <c r="D26" s="15"/>
      <c r="E26" s="15"/>
      <c r="F26" s="15"/>
      <c r="G26" s="15"/>
      <c r="H26" s="15"/>
      <c r="I26" s="15"/>
    </row>
    <row r="27" spans="1:9" ht="15" customHeight="1" x14ac:dyDescent="0.25">
      <c r="A27" s="15"/>
      <c r="B27" s="15"/>
      <c r="C27" s="10" t="s">
        <v>13</v>
      </c>
      <c r="D27" s="10"/>
      <c r="E27" s="10"/>
      <c r="F27" s="10"/>
      <c r="G27" s="10"/>
      <c r="H27" s="10"/>
      <c r="I27" s="10"/>
    </row>
    <row r="28" spans="1:9" ht="15" customHeight="1" x14ac:dyDescent="0.25">
      <c r="A28" s="15"/>
      <c r="B28" s="15"/>
      <c r="C28" s="11" t="s">
        <v>14</v>
      </c>
      <c r="D28" s="11"/>
      <c r="E28" s="11"/>
      <c r="F28" s="11"/>
      <c r="G28" s="11"/>
      <c r="H28" s="11"/>
      <c r="I28" s="11"/>
    </row>
    <row r="29" spans="1:9" ht="15" customHeight="1" x14ac:dyDescent="0.25">
      <c r="A29" s="15"/>
      <c r="B29" s="15"/>
      <c r="C29" s="11"/>
      <c r="D29" s="11"/>
      <c r="E29" s="11"/>
      <c r="F29" s="11"/>
      <c r="G29" s="11"/>
      <c r="H29" s="11"/>
      <c r="I29" s="11"/>
    </row>
    <row r="30" spans="1:9" ht="15" customHeight="1" x14ac:dyDescent="0.25">
      <c r="A30" s="15"/>
      <c r="B30" s="15"/>
      <c r="C30" s="15"/>
      <c r="D30" s="15"/>
      <c r="E30" s="15"/>
      <c r="F30" s="15"/>
      <c r="G30" s="15"/>
      <c r="H30" s="15"/>
      <c r="I30" s="15"/>
    </row>
    <row r="31" spans="1:9" ht="15" customHeight="1" x14ac:dyDescent="0.25">
      <c r="A31" s="15"/>
      <c r="B31" s="15"/>
      <c r="C31" s="10" t="s">
        <v>15</v>
      </c>
      <c r="D31" s="10"/>
      <c r="E31" s="10"/>
      <c r="F31" s="10"/>
      <c r="G31" s="10"/>
      <c r="H31" s="10"/>
      <c r="I31" s="10"/>
    </row>
    <row r="32" spans="1:9" ht="15" customHeight="1" x14ac:dyDescent="0.25">
      <c r="A32" s="15"/>
      <c r="B32" s="15"/>
      <c r="C32" s="11" t="s">
        <v>16</v>
      </c>
      <c r="D32" s="11"/>
      <c r="E32" s="11"/>
      <c r="F32" s="11"/>
      <c r="G32" s="11"/>
      <c r="H32" s="11"/>
      <c r="I32" s="11"/>
    </row>
    <row r="33" spans="1:9" ht="15" customHeight="1" x14ac:dyDescent="0.25">
      <c r="A33" s="15"/>
      <c r="B33" s="15"/>
      <c r="C33" s="11"/>
      <c r="D33" s="11"/>
      <c r="E33" s="11"/>
      <c r="F33" s="11"/>
      <c r="G33" s="11"/>
      <c r="H33" s="11"/>
      <c r="I33" s="11"/>
    </row>
    <row r="34" spans="1:9" ht="15" customHeight="1" x14ac:dyDescent="0.25">
      <c r="A34" s="15"/>
      <c r="B34" s="15"/>
      <c r="C34" s="15"/>
      <c r="D34" s="15"/>
      <c r="E34" s="15"/>
      <c r="F34" s="15"/>
      <c r="G34" s="15"/>
      <c r="H34" s="15"/>
      <c r="I34" s="15"/>
    </row>
    <row r="35" spans="1:9" ht="15" customHeight="1" x14ac:dyDescent="0.25">
      <c r="A35" s="15"/>
      <c r="B35" s="15"/>
      <c r="C35" s="12" t="s">
        <v>17</v>
      </c>
      <c r="D35" s="12"/>
      <c r="E35" s="12"/>
      <c r="F35" s="12"/>
      <c r="G35" s="12"/>
      <c r="H35" s="12"/>
      <c r="I35" s="12"/>
    </row>
    <row r="36" spans="1:9" ht="30" customHeight="1" x14ac:dyDescent="0.25">
      <c r="A36" s="15"/>
      <c r="B36" s="15"/>
      <c r="C36" s="9" t="s">
        <v>18</v>
      </c>
      <c r="D36" s="9"/>
      <c r="E36" s="11" t="s">
        <v>19</v>
      </c>
      <c r="F36" s="11"/>
      <c r="G36" s="11"/>
      <c r="H36" s="11"/>
      <c r="I36" s="11"/>
    </row>
    <row r="37" spans="1:9" ht="30" customHeight="1" x14ac:dyDescent="0.25">
      <c r="A37" s="15"/>
      <c r="B37" s="15"/>
      <c r="C37" s="8" t="s">
        <v>20</v>
      </c>
      <c r="D37" s="8"/>
      <c r="E37" s="11" t="s">
        <v>21</v>
      </c>
      <c r="F37" s="11"/>
      <c r="G37" s="11"/>
      <c r="H37" s="11"/>
      <c r="I37" s="11"/>
    </row>
    <row r="38" spans="1:9" ht="30" customHeight="1" x14ac:dyDescent="0.25">
      <c r="A38" s="15"/>
      <c r="B38" s="15"/>
      <c r="C38" s="7" t="s">
        <v>22</v>
      </c>
      <c r="D38" s="7"/>
      <c r="E38" s="11" t="s">
        <v>23</v>
      </c>
      <c r="F38" s="11"/>
      <c r="G38" s="11"/>
      <c r="H38" s="11"/>
      <c r="I38" s="11"/>
    </row>
    <row r="39" spans="1:9" ht="15" customHeight="1" x14ac:dyDescent="0.25">
      <c r="A39" s="15"/>
      <c r="B39" s="15"/>
      <c r="C39" s="15"/>
      <c r="D39" s="15"/>
      <c r="E39" s="15"/>
      <c r="F39" s="15"/>
      <c r="G39" s="15"/>
      <c r="H39" s="15"/>
      <c r="I39" s="15"/>
    </row>
    <row r="40" spans="1:9" ht="15" customHeight="1" x14ac:dyDescent="0.25">
      <c r="A40" s="15"/>
      <c r="B40" s="15"/>
      <c r="C40" s="12" t="s">
        <v>24</v>
      </c>
      <c r="D40" s="12"/>
      <c r="E40" s="12"/>
      <c r="F40" s="12"/>
      <c r="G40" s="12"/>
      <c r="H40" s="12"/>
      <c r="I40" s="12"/>
    </row>
    <row r="41" spans="1:9" ht="15" customHeight="1" x14ac:dyDescent="0.25">
      <c r="A41" s="15"/>
      <c r="B41" s="15"/>
      <c r="C41" s="6" t="s">
        <v>25</v>
      </c>
      <c r="D41" s="6"/>
      <c r="E41" s="11" t="s">
        <v>26</v>
      </c>
      <c r="F41" s="11"/>
      <c r="G41" s="11"/>
      <c r="H41" s="11"/>
      <c r="I41" s="11"/>
    </row>
    <row r="42" spans="1:9" ht="15" customHeight="1" x14ac:dyDescent="0.25">
      <c r="A42" s="15"/>
      <c r="B42" s="15"/>
      <c r="C42" s="5" t="s">
        <v>27</v>
      </c>
      <c r="D42" s="5"/>
      <c r="E42" s="11" t="s">
        <v>28</v>
      </c>
      <c r="F42" s="11"/>
      <c r="G42" s="11"/>
      <c r="H42" s="11"/>
      <c r="I42" s="11"/>
    </row>
    <row r="43" spans="1:9" ht="15" customHeight="1" x14ac:dyDescent="0.25">
      <c r="A43" s="15"/>
      <c r="B43" s="15"/>
      <c r="C43" s="4" t="s">
        <v>29</v>
      </c>
      <c r="D43" s="4"/>
      <c r="E43" s="11" t="s">
        <v>30</v>
      </c>
      <c r="F43" s="11"/>
      <c r="G43" s="11"/>
      <c r="H43" s="11"/>
      <c r="I43" s="11"/>
    </row>
    <row r="44" spans="1:9" ht="15" customHeight="1" x14ac:dyDescent="0.25">
      <c r="A44" s="15"/>
      <c r="B44" s="15"/>
      <c r="C44" s="15"/>
      <c r="D44" s="15"/>
      <c r="E44" s="15"/>
      <c r="F44" s="15"/>
      <c r="G44" s="15"/>
      <c r="H44" s="15"/>
      <c r="I44" s="15"/>
    </row>
    <row r="45" spans="1:9" ht="15" customHeight="1" x14ac:dyDescent="0.25">
      <c r="A45" s="15"/>
      <c r="B45" s="15"/>
      <c r="C45" s="12" t="s">
        <v>31</v>
      </c>
      <c r="D45" s="12"/>
      <c r="E45" s="12"/>
      <c r="F45" s="12"/>
      <c r="G45" s="12"/>
      <c r="H45" s="12"/>
      <c r="I45" s="12"/>
    </row>
    <row r="46" spans="1:9" ht="15" customHeight="1" x14ac:dyDescent="0.25">
      <c r="A46" s="15"/>
      <c r="B46" s="15"/>
      <c r="C46" s="3" t="s">
        <v>32</v>
      </c>
      <c r="D46" s="3"/>
      <c r="E46" s="3"/>
      <c r="F46" s="3"/>
      <c r="G46" s="3"/>
      <c r="H46" s="3"/>
      <c r="I46" s="3"/>
    </row>
    <row r="47" spans="1:9" ht="15" customHeight="1" x14ac:dyDescent="0.25">
      <c r="A47" s="15"/>
      <c r="B47" s="15"/>
      <c r="C47" s="3"/>
      <c r="D47" s="3"/>
      <c r="E47" s="3"/>
      <c r="F47" s="3"/>
      <c r="G47" s="3"/>
      <c r="H47" s="3"/>
      <c r="I47" s="3"/>
    </row>
    <row r="48" spans="1:9" ht="15" customHeight="1" x14ac:dyDescent="0.25">
      <c r="A48" s="15"/>
      <c r="B48" s="15"/>
      <c r="C48" s="3"/>
      <c r="D48" s="3"/>
      <c r="E48" s="3"/>
      <c r="F48" s="3"/>
      <c r="G48" s="3"/>
      <c r="H48" s="3"/>
      <c r="I48" s="3"/>
    </row>
    <row r="49" spans="1:9" ht="15" customHeight="1" x14ac:dyDescent="0.25">
      <c r="A49" s="15"/>
      <c r="B49" s="15"/>
      <c r="C49" s="15"/>
      <c r="D49" s="15"/>
      <c r="E49" s="15"/>
      <c r="F49" s="15"/>
      <c r="G49" s="15"/>
      <c r="H49" s="15"/>
      <c r="I49" s="15"/>
    </row>
    <row r="50" spans="1:9" ht="15" customHeight="1" x14ac:dyDescent="0.25">
      <c r="A50" s="15"/>
      <c r="B50" s="15"/>
      <c r="C50" s="12" t="s">
        <v>33</v>
      </c>
      <c r="D50" s="12"/>
      <c r="E50" s="12"/>
      <c r="F50" s="12"/>
      <c r="G50" s="12"/>
      <c r="H50" s="12"/>
      <c r="I50" s="12"/>
    </row>
    <row r="51" spans="1:9" ht="15" customHeight="1" x14ac:dyDescent="0.25">
      <c r="A51" s="15"/>
      <c r="B51" s="15"/>
      <c r="C51" s="17" t="s">
        <v>34</v>
      </c>
      <c r="D51" s="15"/>
      <c r="E51" s="11" t="s">
        <v>35</v>
      </c>
      <c r="F51" s="11"/>
      <c r="G51" s="11"/>
      <c r="H51" s="11"/>
      <c r="I51" s="11"/>
    </row>
    <row r="52" spans="1:9" ht="15" customHeight="1" x14ac:dyDescent="0.25">
      <c r="A52" s="15"/>
      <c r="B52" s="15"/>
      <c r="C52" s="17" t="s">
        <v>36</v>
      </c>
      <c r="D52" s="15"/>
      <c r="E52" s="11" t="s">
        <v>37</v>
      </c>
      <c r="F52" s="11"/>
      <c r="G52" s="11"/>
      <c r="H52" s="11"/>
      <c r="I52" s="11"/>
    </row>
    <row r="53" spans="1:9" ht="15" customHeight="1" x14ac:dyDescent="0.25">
      <c r="A53" s="15"/>
      <c r="B53" s="15"/>
      <c r="C53" s="17" t="s">
        <v>38</v>
      </c>
      <c r="D53" s="15"/>
      <c r="E53" s="11" t="s">
        <v>39</v>
      </c>
      <c r="F53" s="11"/>
      <c r="G53" s="11"/>
      <c r="H53" s="11"/>
      <c r="I53" s="11"/>
    </row>
    <row r="54" spans="1:9" ht="15" customHeight="1" x14ac:dyDescent="0.25">
      <c r="A54" s="15"/>
      <c r="B54" s="15"/>
      <c r="C54" s="17" t="s">
        <v>40</v>
      </c>
      <c r="D54" s="15"/>
      <c r="E54" s="11" t="s">
        <v>41</v>
      </c>
      <c r="F54" s="11"/>
      <c r="G54" s="11"/>
      <c r="H54" s="11"/>
      <c r="I54" s="11"/>
    </row>
    <row r="55" spans="1:9" ht="15" customHeight="1" x14ac:dyDescent="0.25">
      <c r="A55" s="15"/>
      <c r="B55" s="15"/>
      <c r="C55" s="17" t="s">
        <v>42</v>
      </c>
      <c r="D55" s="15"/>
      <c r="E55" s="11" t="s">
        <v>43</v>
      </c>
      <c r="F55" s="11"/>
      <c r="G55" s="11"/>
      <c r="H55" s="11"/>
      <c r="I55" s="11"/>
    </row>
    <row r="56" spans="1:9" ht="15" customHeight="1" x14ac:dyDescent="0.25">
      <c r="A56" s="15"/>
      <c r="B56" s="15"/>
      <c r="C56" s="17" t="s">
        <v>44</v>
      </c>
      <c r="D56" s="15"/>
      <c r="E56" s="11" t="s">
        <v>45</v>
      </c>
      <c r="F56" s="11"/>
      <c r="G56" s="11"/>
      <c r="H56" s="11"/>
      <c r="I56" s="11"/>
    </row>
    <row r="57" spans="1:9" ht="15" customHeight="1" x14ac:dyDescent="0.25">
      <c r="A57" s="15"/>
      <c r="B57" s="15"/>
      <c r="C57" s="17" t="s">
        <v>46</v>
      </c>
      <c r="D57" s="15"/>
      <c r="E57" s="11" t="s">
        <v>47</v>
      </c>
      <c r="F57" s="11"/>
      <c r="G57" s="11"/>
      <c r="H57" s="11"/>
      <c r="I57" s="11"/>
    </row>
    <row r="58" spans="1:9" ht="15" customHeight="1" x14ac:dyDescent="0.25">
      <c r="A58" s="15"/>
      <c r="B58" s="15"/>
      <c r="C58" s="17" t="s">
        <v>48</v>
      </c>
      <c r="D58" s="15"/>
      <c r="E58" s="11" t="s">
        <v>49</v>
      </c>
      <c r="F58" s="11"/>
      <c r="G58" s="11"/>
      <c r="H58" s="11"/>
      <c r="I58" s="11"/>
    </row>
    <row r="59" spans="1:9" ht="15" customHeight="1" x14ac:dyDescent="0.25">
      <c r="A59" s="15"/>
      <c r="B59" s="15"/>
      <c r="C59" s="17" t="s">
        <v>50</v>
      </c>
      <c r="D59" s="15"/>
      <c r="E59" s="11" t="s">
        <v>51</v>
      </c>
      <c r="F59" s="11"/>
      <c r="G59" s="11"/>
      <c r="H59" s="11"/>
      <c r="I59" s="11"/>
    </row>
  </sheetData>
  <mergeCells count="43">
    <mergeCell ref="E58:I58"/>
    <mergeCell ref="E59:I59"/>
    <mergeCell ref="E53:I53"/>
    <mergeCell ref="E54:I54"/>
    <mergeCell ref="E55:I55"/>
    <mergeCell ref="E56:I56"/>
    <mergeCell ref="E57:I57"/>
    <mergeCell ref="C45:I45"/>
    <mergeCell ref="C46:I48"/>
    <mergeCell ref="C50:I50"/>
    <mergeCell ref="E51:I51"/>
    <mergeCell ref="E52:I52"/>
    <mergeCell ref="C41:D41"/>
    <mergeCell ref="E41:I41"/>
    <mergeCell ref="C42:D42"/>
    <mergeCell ref="E42:I42"/>
    <mergeCell ref="C43:D43"/>
    <mergeCell ref="E43:I43"/>
    <mergeCell ref="C37:D37"/>
    <mergeCell ref="E37:I37"/>
    <mergeCell ref="C38:D38"/>
    <mergeCell ref="E38:I38"/>
    <mergeCell ref="C40:I40"/>
    <mergeCell ref="C31:I31"/>
    <mergeCell ref="C32:I33"/>
    <mergeCell ref="C35:I35"/>
    <mergeCell ref="C36:D36"/>
    <mergeCell ref="E36:I36"/>
    <mergeCell ref="C20:I21"/>
    <mergeCell ref="C23:I23"/>
    <mergeCell ref="C24:I25"/>
    <mergeCell ref="C27:I27"/>
    <mergeCell ref="C28:I29"/>
    <mergeCell ref="C11:I11"/>
    <mergeCell ref="C12:I13"/>
    <mergeCell ref="C15:I15"/>
    <mergeCell ref="C16:I17"/>
    <mergeCell ref="C19:I19"/>
    <mergeCell ref="B2:I2"/>
    <mergeCell ref="B3:I3"/>
    <mergeCell ref="C5:I5"/>
    <mergeCell ref="C6:I8"/>
    <mergeCell ref="C10:I10"/>
  </mergeCells>
  <pageMargins left="0.3" right="0.3" top="0.4" bottom="0.4"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0808D"/>
    <pageSetUpPr fitToPage="1"/>
  </sheetPr>
  <dimension ref="A1:G23"/>
  <sheetViews>
    <sheetView showGridLines="0" zoomScaleNormal="100" workbookViewId="0">
      <pane xSplit="2" ySplit="5" topLeftCell="C6" activePane="bottomRight" state="frozen"/>
      <selection pane="topRight" activeCell="C1" sqref="C1"/>
      <selection pane="bottomLeft" activeCell="A6" sqref="A6"/>
      <selection pane="bottomRight"/>
    </sheetView>
  </sheetViews>
  <sheetFormatPr baseColWidth="10" defaultColWidth="8.7109375" defaultRowHeight="15" x14ac:dyDescent="0.25"/>
  <cols>
    <col min="1" max="1" width="3" customWidth="1"/>
    <col min="2" max="2" width="40" customWidth="1"/>
    <col min="3" max="6" width="15" customWidth="1"/>
    <col min="7" max="7" width="13" customWidth="1"/>
  </cols>
  <sheetData>
    <row r="1" spans="1:7" ht="7.5" customHeight="1" x14ac:dyDescent="0.25">
      <c r="A1" s="15"/>
      <c r="B1" s="15"/>
      <c r="C1" s="15"/>
      <c r="D1" s="15"/>
      <c r="E1" s="15"/>
      <c r="F1" s="15"/>
      <c r="G1" s="15"/>
    </row>
    <row r="2" spans="1:7" ht="27.75" customHeight="1" x14ac:dyDescent="0.25">
      <c r="A2" s="15"/>
      <c r="B2" s="14" t="s">
        <v>52</v>
      </c>
      <c r="C2" s="14"/>
      <c r="D2" s="14"/>
      <c r="E2" s="14"/>
      <c r="F2" s="14"/>
      <c r="G2" s="14"/>
    </row>
    <row r="3" spans="1:7" ht="18" customHeight="1" x14ac:dyDescent="0.25">
      <c r="A3" s="15"/>
      <c r="B3" s="13" t="s">
        <v>53</v>
      </c>
      <c r="C3" s="13"/>
      <c r="D3" s="13"/>
      <c r="E3" s="13"/>
      <c r="F3" s="13"/>
      <c r="G3" s="13"/>
    </row>
    <row r="4" spans="1:7" ht="15" customHeight="1" x14ac:dyDescent="0.25">
      <c r="A4" s="15"/>
      <c r="B4" s="15"/>
      <c r="C4" s="15"/>
      <c r="D4" s="15"/>
      <c r="E4" s="15"/>
      <c r="F4" s="15"/>
      <c r="G4" s="15"/>
    </row>
    <row r="5" spans="1:7" ht="19.5" customHeight="1" x14ac:dyDescent="0.25">
      <c r="A5" s="15"/>
      <c r="B5" s="18" t="s">
        <v>54</v>
      </c>
      <c r="C5" s="18">
        <v>2023</v>
      </c>
      <c r="D5" s="18">
        <v>2024</v>
      </c>
      <c r="E5" s="18">
        <v>2025</v>
      </c>
      <c r="F5" s="15"/>
      <c r="G5" s="15"/>
    </row>
    <row r="6" spans="1:7" ht="15" customHeight="1" x14ac:dyDescent="0.25">
      <c r="A6" s="15"/>
      <c r="B6" s="16" t="s">
        <v>55</v>
      </c>
      <c r="C6" s="19">
        <v>13200</v>
      </c>
      <c r="D6" s="19">
        <v>12600</v>
      </c>
      <c r="E6" s="19">
        <v>12000</v>
      </c>
      <c r="F6" s="15"/>
      <c r="G6" s="15"/>
    </row>
    <row r="7" spans="1:7" ht="15" customHeight="1" x14ac:dyDescent="0.25">
      <c r="A7" s="15"/>
      <c r="B7" s="16" t="s">
        <v>56</v>
      </c>
      <c r="C7" s="19">
        <v>-8976</v>
      </c>
      <c r="D7" s="19">
        <v>-8694</v>
      </c>
      <c r="E7" s="19">
        <v>-8460</v>
      </c>
      <c r="F7" s="15"/>
      <c r="G7" s="15"/>
    </row>
    <row r="8" spans="1:7" ht="15" customHeight="1" x14ac:dyDescent="0.25">
      <c r="A8" s="15"/>
      <c r="B8" s="20" t="s">
        <v>57</v>
      </c>
      <c r="C8" s="21">
        <f>C6+C7</f>
        <v>4224</v>
      </c>
      <c r="D8" s="21">
        <f>D6+D7</f>
        <v>3906</v>
      </c>
      <c r="E8" s="21">
        <f>E6+E7</f>
        <v>3540</v>
      </c>
      <c r="F8" s="15"/>
      <c r="G8" s="15"/>
    </row>
    <row r="9" spans="1:7" ht="15" customHeight="1" x14ac:dyDescent="0.25">
      <c r="A9" s="15"/>
      <c r="B9" s="16" t="s">
        <v>58</v>
      </c>
      <c r="C9" s="19">
        <v>-1774</v>
      </c>
      <c r="D9" s="19">
        <v>-1680</v>
      </c>
      <c r="E9" s="19">
        <v>-1487</v>
      </c>
      <c r="F9" s="15"/>
      <c r="G9" s="15"/>
    </row>
    <row r="10" spans="1:7" ht="15" customHeight="1" x14ac:dyDescent="0.25">
      <c r="A10" s="15"/>
      <c r="B10" s="16" t="s">
        <v>59</v>
      </c>
      <c r="C10" s="19">
        <v>-280</v>
      </c>
      <c r="D10" s="19">
        <v>-350</v>
      </c>
      <c r="E10" s="19">
        <v>-450</v>
      </c>
      <c r="F10" s="15"/>
      <c r="G10" s="15"/>
    </row>
    <row r="11" spans="1:7" ht="15" customHeight="1" x14ac:dyDescent="0.25">
      <c r="A11" s="15"/>
      <c r="B11" s="16" t="s">
        <v>60</v>
      </c>
      <c r="C11" s="19">
        <v>-90</v>
      </c>
      <c r="D11" s="19">
        <v>-110</v>
      </c>
      <c r="E11" s="19">
        <v>-120</v>
      </c>
      <c r="F11" s="15"/>
      <c r="G11" s="15"/>
    </row>
    <row r="12" spans="1:7" ht="15" customHeight="1" x14ac:dyDescent="0.25">
      <c r="A12" s="15"/>
      <c r="B12" s="16" t="s">
        <v>61</v>
      </c>
      <c r="C12" s="19">
        <v>-60</v>
      </c>
      <c r="D12" s="19">
        <v>-55</v>
      </c>
      <c r="E12" s="19">
        <v>-50</v>
      </c>
      <c r="F12" s="15"/>
      <c r="G12" s="15"/>
    </row>
    <row r="13" spans="1:7" ht="15" customHeight="1" x14ac:dyDescent="0.25">
      <c r="A13" s="15"/>
      <c r="B13" s="20" t="s">
        <v>62</v>
      </c>
      <c r="C13" s="21">
        <f>C8+C9+C10+C11+C12</f>
        <v>2020</v>
      </c>
      <c r="D13" s="21">
        <f>D8+D9+D10+D11+D12</f>
        <v>1711</v>
      </c>
      <c r="E13" s="21">
        <f>E8+E9+E10+E11+E12</f>
        <v>1433</v>
      </c>
      <c r="F13" s="15"/>
      <c r="G13" s="15"/>
    </row>
    <row r="14" spans="1:7" ht="15" customHeight="1" x14ac:dyDescent="0.25">
      <c r="A14" s="15"/>
      <c r="B14" s="16" t="s">
        <v>63</v>
      </c>
      <c r="C14" s="19">
        <v>-180</v>
      </c>
      <c r="D14" s="19">
        <v>-150</v>
      </c>
      <c r="E14" s="19">
        <v>-130</v>
      </c>
      <c r="F14" s="15"/>
      <c r="G14" s="15"/>
    </row>
    <row r="15" spans="1:7" ht="15" customHeight="1" x14ac:dyDescent="0.25">
      <c r="A15" s="15"/>
      <c r="B15" s="20" t="s">
        <v>64</v>
      </c>
      <c r="C15" s="21">
        <f>C13+C14</f>
        <v>1840</v>
      </c>
      <c r="D15" s="21">
        <f>D13+D14</f>
        <v>1561</v>
      </c>
      <c r="E15" s="21">
        <f>E13+E14</f>
        <v>1303</v>
      </c>
      <c r="F15" s="15"/>
      <c r="G15" s="15"/>
    </row>
    <row r="16" spans="1:7" ht="15" customHeight="1" x14ac:dyDescent="0.25">
      <c r="A16" s="15"/>
      <c r="B16" s="16" t="s">
        <v>65</v>
      </c>
      <c r="C16" s="19">
        <v>-515</v>
      </c>
      <c r="D16" s="19">
        <v>-437</v>
      </c>
      <c r="E16" s="19">
        <v>-365</v>
      </c>
      <c r="F16" s="15"/>
      <c r="G16" s="15"/>
    </row>
    <row r="17" spans="1:7" ht="15" customHeight="1" x14ac:dyDescent="0.25">
      <c r="A17" s="15"/>
      <c r="B17" s="20" t="s">
        <v>66</v>
      </c>
      <c r="C17" s="21">
        <f>C15+C16</f>
        <v>1325</v>
      </c>
      <c r="D17" s="21">
        <f>D15+D16</f>
        <v>1124</v>
      </c>
      <c r="E17" s="21">
        <f>E15+E16</f>
        <v>938</v>
      </c>
      <c r="F17" s="15"/>
      <c r="G17" s="15"/>
    </row>
    <row r="18" spans="1:7" ht="15" customHeight="1" x14ac:dyDescent="0.25">
      <c r="A18" s="15"/>
      <c r="B18" s="15"/>
      <c r="C18" s="15"/>
      <c r="D18" s="15"/>
      <c r="E18" s="15"/>
      <c r="F18" s="15"/>
      <c r="G18" s="15"/>
    </row>
    <row r="19" spans="1:7" ht="15" customHeight="1" x14ac:dyDescent="0.25">
      <c r="A19" s="15"/>
      <c r="B19" s="17" t="s">
        <v>67</v>
      </c>
      <c r="C19" s="22">
        <f>C13-C12</f>
        <v>2080</v>
      </c>
      <c r="D19" s="22">
        <f>D13-D12</f>
        <v>1766</v>
      </c>
      <c r="E19" s="22">
        <f>E13-E12</f>
        <v>1483</v>
      </c>
      <c r="F19" s="15"/>
      <c r="G19" s="15"/>
    </row>
    <row r="20" spans="1:7" ht="15" customHeight="1" x14ac:dyDescent="0.25">
      <c r="A20" s="15"/>
      <c r="B20" s="15"/>
      <c r="C20" s="15"/>
      <c r="D20" s="15"/>
      <c r="E20" s="15"/>
      <c r="F20" s="15"/>
      <c r="G20" s="15"/>
    </row>
    <row r="21" spans="1:7" ht="15" customHeight="1" x14ac:dyDescent="0.25">
      <c r="A21" s="15"/>
      <c r="B21" s="2" t="s">
        <v>68</v>
      </c>
      <c r="C21" s="2"/>
      <c r="D21" s="2"/>
      <c r="E21" s="2"/>
      <c r="F21" s="15"/>
      <c r="G21" s="15"/>
    </row>
    <row r="22" spans="1:7" ht="15" customHeight="1" x14ac:dyDescent="0.25">
      <c r="A22" s="15"/>
      <c r="B22" s="2"/>
      <c r="C22" s="2"/>
      <c r="D22" s="2"/>
      <c r="E22" s="2"/>
      <c r="F22" s="15"/>
      <c r="G22" s="15"/>
    </row>
    <row r="23" spans="1:7" ht="15" customHeight="1" x14ac:dyDescent="0.25">
      <c r="A23" s="15"/>
      <c r="B23" s="2"/>
      <c r="C23" s="2"/>
      <c r="D23" s="2"/>
      <c r="E23" s="2"/>
      <c r="F23" s="15"/>
      <c r="G23" s="15"/>
    </row>
  </sheetData>
  <mergeCells count="3">
    <mergeCell ref="B2:G2"/>
    <mergeCell ref="B3:G3"/>
    <mergeCell ref="B21:E23"/>
  </mergeCells>
  <pageMargins left="0.3" right="0.3" top="0.4" bottom="0.4"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0808D"/>
    <pageSetUpPr fitToPage="1"/>
  </sheetPr>
  <dimension ref="A1:G34"/>
  <sheetViews>
    <sheetView showGridLines="0" zoomScaleNormal="100" workbookViewId="0">
      <pane xSplit="2" ySplit="5" topLeftCell="C6" activePane="bottomRight" state="frozen"/>
      <selection pane="topRight" activeCell="C1" sqref="C1"/>
      <selection pane="bottomLeft" activeCell="A6" sqref="A6"/>
      <selection pane="bottomRight"/>
    </sheetView>
  </sheetViews>
  <sheetFormatPr baseColWidth="10" defaultColWidth="8.7109375" defaultRowHeight="15" x14ac:dyDescent="0.25"/>
  <cols>
    <col min="1" max="1" width="3" customWidth="1"/>
    <col min="2" max="2" width="42" customWidth="1"/>
    <col min="3" max="6" width="15" customWidth="1"/>
    <col min="7" max="7" width="13" customWidth="1"/>
  </cols>
  <sheetData>
    <row r="1" spans="1:7" ht="7.5" customHeight="1" x14ac:dyDescent="0.25">
      <c r="A1" s="15"/>
      <c r="B1" s="15"/>
      <c r="C1" s="15"/>
      <c r="D1" s="15"/>
      <c r="E1" s="15"/>
      <c r="F1" s="15"/>
      <c r="G1" s="15"/>
    </row>
    <row r="2" spans="1:7" ht="27.75" customHeight="1" x14ac:dyDescent="0.25">
      <c r="A2" s="15"/>
      <c r="B2" s="14" t="s">
        <v>69</v>
      </c>
      <c r="C2" s="14"/>
      <c r="D2" s="14"/>
      <c r="E2" s="14"/>
      <c r="F2" s="14"/>
      <c r="G2" s="14"/>
    </row>
    <row r="3" spans="1:7" ht="18" customHeight="1" x14ac:dyDescent="0.25">
      <c r="A3" s="15"/>
      <c r="B3" s="13" t="s">
        <v>70</v>
      </c>
      <c r="C3" s="13"/>
      <c r="D3" s="13"/>
      <c r="E3" s="13"/>
      <c r="F3" s="13"/>
      <c r="G3" s="13"/>
    </row>
    <row r="4" spans="1:7" ht="15" customHeight="1" x14ac:dyDescent="0.25">
      <c r="A4" s="15"/>
      <c r="B4" s="15"/>
      <c r="C4" s="15"/>
      <c r="D4" s="15"/>
      <c r="E4" s="15"/>
      <c r="F4" s="15"/>
      <c r="G4" s="15"/>
    </row>
    <row r="5" spans="1:7" ht="19.5" customHeight="1" x14ac:dyDescent="0.25">
      <c r="A5" s="15"/>
      <c r="B5" s="18" t="s">
        <v>54</v>
      </c>
      <c r="C5" s="18">
        <v>2023</v>
      </c>
      <c r="D5" s="18">
        <v>2024</v>
      </c>
      <c r="E5" s="18">
        <v>2025</v>
      </c>
      <c r="F5" s="15"/>
      <c r="G5" s="15"/>
    </row>
    <row r="6" spans="1:7" ht="15" customHeight="1" x14ac:dyDescent="0.25">
      <c r="A6" s="15"/>
      <c r="B6" s="1" t="s">
        <v>71</v>
      </c>
      <c r="C6" s="1"/>
      <c r="D6" s="1"/>
      <c r="E6" s="1"/>
      <c r="F6" s="15"/>
      <c r="G6" s="15"/>
    </row>
    <row r="7" spans="1:7" ht="15" customHeight="1" x14ac:dyDescent="0.25">
      <c r="A7" s="15"/>
      <c r="B7" s="16" t="s">
        <v>72</v>
      </c>
      <c r="C7" s="19">
        <v>1110</v>
      </c>
      <c r="D7" s="19">
        <v>1160</v>
      </c>
      <c r="E7" s="19">
        <v>1000</v>
      </c>
      <c r="F7" s="15"/>
      <c r="G7" s="15"/>
    </row>
    <row r="8" spans="1:7" ht="15" customHeight="1" x14ac:dyDescent="0.25">
      <c r="A8" s="15"/>
      <c r="B8" s="16" t="s">
        <v>73</v>
      </c>
      <c r="C8" s="19">
        <v>3840</v>
      </c>
      <c r="D8" s="19">
        <v>3750</v>
      </c>
      <c r="E8" s="19">
        <v>3600</v>
      </c>
      <c r="F8" s="15"/>
      <c r="G8" s="15"/>
    </row>
    <row r="9" spans="1:7" ht="15" customHeight="1" x14ac:dyDescent="0.25">
      <c r="A9" s="15"/>
      <c r="B9" s="16" t="s">
        <v>74</v>
      </c>
      <c r="C9" s="19">
        <v>1500</v>
      </c>
      <c r="D9" s="19">
        <v>1600</v>
      </c>
      <c r="E9" s="19">
        <v>1650</v>
      </c>
      <c r="F9" s="15"/>
      <c r="G9" s="15"/>
    </row>
    <row r="10" spans="1:7" ht="15" customHeight="1" x14ac:dyDescent="0.25">
      <c r="A10" s="15"/>
      <c r="B10" s="16" t="s">
        <v>75</v>
      </c>
      <c r="C10" s="19">
        <v>260</v>
      </c>
      <c r="D10" s="19">
        <v>250</v>
      </c>
      <c r="E10" s="19">
        <v>250</v>
      </c>
      <c r="F10" s="15"/>
      <c r="G10" s="15"/>
    </row>
    <row r="11" spans="1:7" ht="15" customHeight="1" x14ac:dyDescent="0.25">
      <c r="A11" s="15"/>
      <c r="B11" s="20" t="s">
        <v>76</v>
      </c>
      <c r="C11" s="21">
        <f>SUM(C7:C10)</f>
        <v>6710</v>
      </c>
      <c r="D11" s="21">
        <f>SUM(D7:D10)</f>
        <v>6760</v>
      </c>
      <c r="E11" s="21">
        <f>SUM(E7:E10)</f>
        <v>6500</v>
      </c>
      <c r="F11" s="15"/>
      <c r="G11" s="15"/>
    </row>
    <row r="12" spans="1:7" ht="15" customHeight="1" x14ac:dyDescent="0.25">
      <c r="A12" s="15"/>
      <c r="B12" s="16" t="s">
        <v>77</v>
      </c>
      <c r="C12" s="19">
        <v>460</v>
      </c>
      <c r="D12" s="19">
        <v>440</v>
      </c>
      <c r="E12" s="19">
        <v>430</v>
      </c>
      <c r="F12" s="15"/>
      <c r="G12" s="15"/>
    </row>
    <row r="13" spans="1:7" ht="15" customHeight="1" x14ac:dyDescent="0.25">
      <c r="A13" s="15"/>
      <c r="B13" s="16" t="s">
        <v>78</v>
      </c>
      <c r="C13" s="19">
        <v>0</v>
      </c>
      <c r="D13" s="19">
        <v>0</v>
      </c>
      <c r="E13" s="19">
        <v>0</v>
      </c>
      <c r="F13" s="15"/>
      <c r="G13" s="15"/>
    </row>
    <row r="14" spans="1:7" ht="15" customHeight="1" x14ac:dyDescent="0.25">
      <c r="A14" s="15"/>
      <c r="B14" s="20" t="s">
        <v>79</v>
      </c>
      <c r="C14" s="21">
        <f>C11+C12+C13</f>
        <v>7170</v>
      </c>
      <c r="D14" s="21">
        <f>D11+D12+D13</f>
        <v>7200</v>
      </c>
      <c r="E14" s="21">
        <f>E11+E12+E13</f>
        <v>6930</v>
      </c>
      <c r="F14" s="15"/>
      <c r="G14" s="15"/>
    </row>
    <row r="15" spans="1:7" ht="15" customHeight="1" x14ac:dyDescent="0.25">
      <c r="A15" s="15"/>
      <c r="B15" s="15"/>
      <c r="C15" s="15"/>
      <c r="D15" s="15"/>
      <c r="E15" s="15"/>
      <c r="F15" s="15"/>
      <c r="G15" s="15"/>
    </row>
    <row r="16" spans="1:7" ht="15" customHeight="1" x14ac:dyDescent="0.25">
      <c r="A16" s="15"/>
      <c r="B16" s="1" t="s">
        <v>80</v>
      </c>
      <c r="C16" s="1"/>
      <c r="D16" s="1"/>
      <c r="E16" s="1"/>
      <c r="F16" s="15"/>
      <c r="G16" s="15"/>
    </row>
    <row r="17" spans="1:7" ht="15" customHeight="1" x14ac:dyDescent="0.25">
      <c r="A17" s="15"/>
      <c r="B17" s="16" t="s">
        <v>81</v>
      </c>
      <c r="C17" s="19">
        <v>500</v>
      </c>
      <c r="D17" s="19">
        <v>500</v>
      </c>
      <c r="E17" s="19">
        <v>480</v>
      </c>
      <c r="F17" s="15"/>
      <c r="G17" s="15"/>
    </row>
    <row r="18" spans="1:7" ht="15" customHeight="1" x14ac:dyDescent="0.25">
      <c r="A18" s="15"/>
      <c r="B18" s="16" t="s">
        <v>82</v>
      </c>
      <c r="C18" s="19">
        <v>0</v>
      </c>
      <c r="D18" s="19">
        <v>0</v>
      </c>
      <c r="E18" s="19">
        <v>0</v>
      </c>
      <c r="F18" s="15"/>
      <c r="G18" s="15"/>
    </row>
    <row r="19" spans="1:7" ht="23.25" customHeight="1" x14ac:dyDescent="0.25">
      <c r="A19" s="15"/>
      <c r="B19" s="16" t="s">
        <v>83</v>
      </c>
      <c r="C19" s="19">
        <v>480</v>
      </c>
      <c r="D19" s="19">
        <v>560</v>
      </c>
      <c r="E19" s="19">
        <v>950</v>
      </c>
      <c r="F19" s="15"/>
      <c r="G19" s="15"/>
    </row>
    <row r="20" spans="1:7" ht="15" customHeight="1" x14ac:dyDescent="0.25">
      <c r="A20" s="15"/>
      <c r="B20" s="20" t="s">
        <v>84</v>
      </c>
      <c r="C20" s="21">
        <f>SUM(C17:C19)</f>
        <v>980</v>
      </c>
      <c r="D20" s="21">
        <f>SUM(D17:D19)</f>
        <v>1060</v>
      </c>
      <c r="E20" s="21">
        <f>SUM(E17:E19)</f>
        <v>1430</v>
      </c>
      <c r="F20" s="15"/>
      <c r="G20" s="15"/>
    </row>
    <row r="21" spans="1:7" ht="15" customHeight="1" x14ac:dyDescent="0.25">
      <c r="A21" s="15"/>
      <c r="B21" s="16" t="s">
        <v>85</v>
      </c>
      <c r="C21" s="19">
        <v>0</v>
      </c>
      <c r="D21" s="19">
        <v>0</v>
      </c>
      <c r="E21" s="19">
        <v>0</v>
      </c>
      <c r="F21" s="15"/>
      <c r="G21" s="15"/>
    </row>
    <row r="22" spans="1:7" ht="15" customHeight="1" x14ac:dyDescent="0.25">
      <c r="A22" s="15"/>
      <c r="B22" s="16" t="s">
        <v>86</v>
      </c>
      <c r="C22" s="19">
        <v>0</v>
      </c>
      <c r="D22" s="19">
        <v>0</v>
      </c>
      <c r="E22" s="19">
        <v>0</v>
      </c>
      <c r="F22" s="15"/>
      <c r="G22" s="15"/>
    </row>
    <row r="23" spans="1:7" ht="15" customHeight="1" x14ac:dyDescent="0.25">
      <c r="A23" s="15"/>
      <c r="B23" s="20" t="s">
        <v>87</v>
      </c>
      <c r="C23" s="21">
        <f>C20+C21+C22</f>
        <v>980</v>
      </c>
      <c r="D23" s="21">
        <f>D20+D21+D22</f>
        <v>1060</v>
      </c>
      <c r="E23" s="21">
        <f>E20+E21+E22</f>
        <v>1430</v>
      </c>
      <c r="F23" s="15"/>
      <c r="G23" s="15"/>
    </row>
    <row r="24" spans="1:7" ht="15" customHeight="1" x14ac:dyDescent="0.25">
      <c r="A24" s="15"/>
      <c r="B24" s="15"/>
      <c r="C24" s="15"/>
      <c r="D24" s="15"/>
      <c r="E24" s="15"/>
      <c r="F24" s="15"/>
      <c r="G24" s="15"/>
    </row>
    <row r="25" spans="1:7" ht="15" customHeight="1" x14ac:dyDescent="0.25">
      <c r="A25" s="15"/>
      <c r="B25" s="1" t="s">
        <v>88</v>
      </c>
      <c r="C25" s="1"/>
      <c r="D25" s="1"/>
      <c r="E25" s="1"/>
      <c r="F25" s="15"/>
      <c r="G25" s="15"/>
    </row>
    <row r="26" spans="1:7" ht="15" customHeight="1" x14ac:dyDescent="0.25">
      <c r="A26" s="15"/>
      <c r="B26" s="16" t="s">
        <v>89</v>
      </c>
      <c r="C26" s="19">
        <v>6190</v>
      </c>
      <c r="D26" s="19">
        <v>6140</v>
      </c>
      <c r="E26" s="19">
        <v>5500</v>
      </c>
      <c r="F26" s="15"/>
      <c r="G26" s="15"/>
    </row>
    <row r="27" spans="1:7" ht="15" customHeight="1" x14ac:dyDescent="0.25">
      <c r="A27" s="15"/>
      <c r="B27" s="20" t="s">
        <v>90</v>
      </c>
      <c r="C27" s="21">
        <f>C23+C26</f>
        <v>7170</v>
      </c>
      <c r="D27" s="21">
        <f>D23+D26</f>
        <v>7200</v>
      </c>
      <c r="E27" s="21">
        <f>E23+E26</f>
        <v>6930</v>
      </c>
      <c r="F27" s="15"/>
      <c r="G27" s="15"/>
    </row>
    <row r="28" spans="1:7" ht="15" customHeight="1" x14ac:dyDescent="0.25">
      <c r="A28" s="15"/>
      <c r="B28" s="15"/>
      <c r="C28" s="15"/>
      <c r="D28" s="15"/>
      <c r="E28" s="15"/>
      <c r="F28" s="15"/>
      <c r="G28" s="15"/>
    </row>
    <row r="29" spans="1:7" ht="15" customHeight="1" x14ac:dyDescent="0.25">
      <c r="A29" s="15"/>
      <c r="B29" s="20" t="s">
        <v>91</v>
      </c>
      <c r="C29" s="23">
        <f>C14-C27</f>
        <v>0</v>
      </c>
      <c r="D29" s="23">
        <f>D14-D27</f>
        <v>0</v>
      </c>
      <c r="E29" s="23">
        <f>E14-E27</f>
        <v>0</v>
      </c>
      <c r="F29" s="15"/>
      <c r="G29" s="15"/>
    </row>
    <row r="30" spans="1:7" ht="15" customHeight="1" x14ac:dyDescent="0.25">
      <c r="A30" s="15"/>
      <c r="B30" s="17" t="s">
        <v>92</v>
      </c>
      <c r="C30" s="24" t="str">
        <f>IF(ABS(C29)&lt;0.01,"Cuadrado","REVISAR DESCUADRE")</f>
        <v>Cuadrado</v>
      </c>
      <c r="D30" s="24" t="str">
        <f>IF(ABS(D29)&lt;0.01,"Cuadrado","REVISAR DESCUADRE")</f>
        <v>Cuadrado</v>
      </c>
      <c r="E30" s="24" t="str">
        <f>IF(ABS(E29)&lt;0.01,"Cuadrado","REVISAR DESCUADRE")</f>
        <v>Cuadrado</v>
      </c>
      <c r="F30" s="15"/>
      <c r="G30" s="15"/>
    </row>
    <row r="31" spans="1:7" ht="15" customHeight="1" x14ac:dyDescent="0.25">
      <c r="A31" s="15"/>
      <c r="B31" s="15"/>
      <c r="C31" s="15"/>
      <c r="D31" s="15"/>
      <c r="E31" s="15"/>
      <c r="F31" s="15"/>
      <c r="G31" s="15"/>
    </row>
    <row r="32" spans="1:7" ht="15" customHeight="1" x14ac:dyDescent="0.25">
      <c r="A32" s="15"/>
      <c r="B32" s="2" t="s">
        <v>93</v>
      </c>
      <c r="C32" s="2"/>
      <c r="D32" s="2"/>
      <c r="E32" s="2"/>
      <c r="F32" s="15"/>
      <c r="G32" s="15"/>
    </row>
    <row r="33" spans="1:7" ht="15" customHeight="1" x14ac:dyDescent="0.25">
      <c r="A33" s="15"/>
      <c r="B33" s="2"/>
      <c r="C33" s="2"/>
      <c r="D33" s="2"/>
      <c r="E33" s="2"/>
      <c r="F33" s="15"/>
      <c r="G33" s="15"/>
    </row>
    <row r="34" spans="1:7" ht="15" customHeight="1" x14ac:dyDescent="0.25">
      <c r="A34" s="15"/>
      <c r="B34" s="2"/>
      <c r="C34" s="2"/>
      <c r="D34" s="2"/>
      <c r="E34" s="2"/>
      <c r="F34" s="15"/>
      <c r="G34" s="15"/>
    </row>
  </sheetData>
  <mergeCells count="6">
    <mergeCell ref="B32:E34"/>
    <mergeCell ref="B2:G2"/>
    <mergeCell ref="B3:G3"/>
    <mergeCell ref="B6:E6"/>
    <mergeCell ref="B16:E16"/>
    <mergeCell ref="B25:E25"/>
  </mergeCells>
  <conditionalFormatting sqref="C30:E30">
    <cfRule type="expression" dxfId="78" priority="2">
      <formula>C30="Cuadrado"</formula>
    </cfRule>
    <cfRule type="expression" dxfId="77" priority="3">
      <formula>C30&lt;&gt;"Cuadrado"</formula>
    </cfRule>
  </conditionalFormatting>
  <pageMargins left="0.3" right="0.3" top="0.4" bottom="0.4"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0808D"/>
    <pageSetUpPr fitToPage="1"/>
  </sheetPr>
  <dimension ref="A1:G36"/>
  <sheetViews>
    <sheetView showGridLines="0" zoomScaleNormal="100" workbookViewId="0">
      <pane xSplit="2" ySplit="5" topLeftCell="C6" activePane="bottomRight" state="frozen"/>
      <selection pane="topRight" activeCell="C1" sqref="C1"/>
      <selection pane="bottomLeft" activeCell="A6" sqref="A6"/>
      <selection pane="bottomRight"/>
    </sheetView>
  </sheetViews>
  <sheetFormatPr baseColWidth="10" defaultColWidth="8.7109375" defaultRowHeight="15" x14ac:dyDescent="0.25"/>
  <cols>
    <col min="1" max="1" width="3" customWidth="1"/>
    <col min="2" max="2" width="46" customWidth="1"/>
    <col min="3" max="6" width="15" customWidth="1"/>
    <col min="7" max="7" width="13" customWidth="1"/>
  </cols>
  <sheetData>
    <row r="1" spans="1:7" ht="7.5" customHeight="1" x14ac:dyDescent="0.25">
      <c r="A1" s="15"/>
      <c r="B1" s="15"/>
      <c r="C1" s="15"/>
      <c r="D1" s="15"/>
      <c r="E1" s="15"/>
      <c r="F1" s="15"/>
      <c r="G1" s="15"/>
    </row>
    <row r="2" spans="1:7" ht="27.75" customHeight="1" x14ac:dyDescent="0.25">
      <c r="A2" s="15"/>
      <c r="B2" s="14" t="s">
        <v>94</v>
      </c>
      <c r="C2" s="14"/>
      <c r="D2" s="14"/>
      <c r="E2" s="14"/>
      <c r="F2" s="14"/>
      <c r="G2" s="14"/>
    </row>
    <row r="3" spans="1:7" ht="18" customHeight="1" x14ac:dyDescent="0.25">
      <c r="A3" s="15"/>
      <c r="B3" s="13" t="s">
        <v>95</v>
      </c>
      <c r="C3" s="13"/>
      <c r="D3" s="13"/>
      <c r="E3" s="13"/>
      <c r="F3" s="13"/>
      <c r="G3" s="13"/>
    </row>
    <row r="4" spans="1:7" ht="15" customHeight="1" x14ac:dyDescent="0.25">
      <c r="A4" s="15"/>
      <c r="B4" s="15"/>
      <c r="C4" s="15"/>
      <c r="D4" s="15"/>
      <c r="E4" s="15"/>
      <c r="F4" s="15"/>
      <c r="G4" s="15"/>
    </row>
    <row r="5" spans="1:7" ht="19.5" customHeight="1" x14ac:dyDescent="0.25">
      <c r="A5" s="15"/>
      <c r="B5" s="18" t="s">
        <v>54</v>
      </c>
      <c r="C5" s="18">
        <v>2023</v>
      </c>
      <c r="D5" s="18">
        <v>2024</v>
      </c>
      <c r="E5" s="18">
        <v>2025</v>
      </c>
      <c r="F5" s="15"/>
      <c r="G5" s="15"/>
    </row>
    <row r="6" spans="1:7" ht="23.25" customHeight="1" x14ac:dyDescent="0.25">
      <c r="A6" s="15"/>
      <c r="B6" s="16" t="s">
        <v>96</v>
      </c>
      <c r="C6" s="15" t="s">
        <v>97</v>
      </c>
      <c r="D6" s="15" t="s">
        <v>98</v>
      </c>
      <c r="E6" s="15" t="s">
        <v>99</v>
      </c>
      <c r="F6" s="15"/>
      <c r="G6" s="15"/>
    </row>
    <row r="7" spans="1:7" ht="15" customHeight="1" x14ac:dyDescent="0.25">
      <c r="A7" s="15"/>
      <c r="B7" s="25" t="s">
        <v>100</v>
      </c>
      <c r="C7" s="26">
        <v>3910</v>
      </c>
      <c r="D7" s="26">
        <v>1400</v>
      </c>
      <c r="E7" s="26">
        <v>480</v>
      </c>
      <c r="F7" s="15"/>
      <c r="G7" s="15"/>
    </row>
    <row r="8" spans="1:7" ht="15" customHeight="1" x14ac:dyDescent="0.25">
      <c r="A8" s="15"/>
      <c r="B8" s="15"/>
      <c r="C8" s="15"/>
      <c r="D8" s="15"/>
      <c r="E8" s="15"/>
      <c r="F8" s="15"/>
      <c r="G8" s="15"/>
    </row>
    <row r="9" spans="1:7" ht="15" customHeight="1" x14ac:dyDescent="0.25">
      <c r="A9" s="15"/>
      <c r="B9" s="1" t="s">
        <v>101</v>
      </c>
      <c r="C9" s="1"/>
      <c r="D9" s="1"/>
      <c r="E9" s="1"/>
      <c r="F9" s="15"/>
      <c r="G9" s="15"/>
    </row>
    <row r="10" spans="1:7" ht="15" customHeight="1" x14ac:dyDescent="0.25">
      <c r="A10" s="15"/>
      <c r="B10" s="16" t="s">
        <v>66</v>
      </c>
      <c r="C10" s="27">
        <f>ER_3Años!C17</f>
        <v>1325</v>
      </c>
      <c r="D10" s="27">
        <f>ER_3Años!D17</f>
        <v>1124</v>
      </c>
      <c r="E10" s="27">
        <f>ER_3Años!E17</f>
        <v>938</v>
      </c>
      <c r="F10" s="15"/>
      <c r="G10" s="15"/>
    </row>
    <row r="11" spans="1:7" ht="15" customHeight="1" x14ac:dyDescent="0.25">
      <c r="A11" s="15"/>
      <c r="B11" s="16" t="s">
        <v>102</v>
      </c>
      <c r="C11" s="27">
        <f>-ER_3Años!C12</f>
        <v>60</v>
      </c>
      <c r="D11" s="27">
        <f>-ER_3Años!D12</f>
        <v>55</v>
      </c>
      <c r="E11" s="27">
        <f>-ER_3Años!E12</f>
        <v>50</v>
      </c>
      <c r="F11" s="15"/>
      <c r="G11" s="15"/>
    </row>
    <row r="12" spans="1:7" ht="15" customHeight="1" x14ac:dyDescent="0.25">
      <c r="A12" s="15"/>
      <c r="B12" s="16" t="s">
        <v>103</v>
      </c>
      <c r="C12" s="27">
        <f>-(BG_3Años!C8-C7)</f>
        <v>70</v>
      </c>
      <c r="D12" s="27">
        <f>-(BG_3Años!D8-BG_3Años!C8)</f>
        <v>90</v>
      </c>
      <c r="E12" s="27">
        <f>-(BG_3Años!E8-BG_3Años!D8)</f>
        <v>150</v>
      </c>
      <c r="F12" s="15"/>
      <c r="G12" s="15"/>
    </row>
    <row r="13" spans="1:7" ht="15" customHeight="1" x14ac:dyDescent="0.25">
      <c r="A13" s="15"/>
      <c r="B13" s="16" t="s">
        <v>104</v>
      </c>
      <c r="C13" s="27">
        <f>-(BG_3Años!C9-D7)</f>
        <v>-100</v>
      </c>
      <c r="D13" s="27">
        <f>-(BG_3Años!D9-BG_3Años!C9)</f>
        <v>-100</v>
      </c>
      <c r="E13" s="27">
        <f>-(BG_3Años!E9-BG_3Años!D9)</f>
        <v>-50</v>
      </c>
      <c r="F13" s="15"/>
      <c r="G13" s="15"/>
    </row>
    <row r="14" spans="1:7" ht="15" customHeight="1" x14ac:dyDescent="0.25">
      <c r="A14" s="15"/>
      <c r="B14" s="16" t="s">
        <v>105</v>
      </c>
      <c r="C14" s="27">
        <f>(BG_3Años!C17-E7)</f>
        <v>20</v>
      </c>
      <c r="D14" s="27">
        <f>(BG_3Años!D17-BG_3Años!C17)</f>
        <v>0</v>
      </c>
      <c r="E14" s="27">
        <f>(BG_3Años!E17-BG_3Años!D17)</f>
        <v>-20</v>
      </c>
      <c r="F14" s="15"/>
      <c r="G14" s="15"/>
    </row>
    <row r="15" spans="1:7" ht="23.25" customHeight="1" x14ac:dyDescent="0.25">
      <c r="A15" s="15"/>
      <c r="B15" s="16" t="s">
        <v>106</v>
      </c>
      <c r="C15" s="28">
        <f>(BG_3Años!C7-900)-C10-C11-C12-C13-C14-C21-C26</f>
        <v>80</v>
      </c>
      <c r="D15" s="28">
        <f>(BG_3Años!D7-BG_3Años!C7)-D10-D11-D12-D13-D14-D21-D26</f>
        <v>155</v>
      </c>
      <c r="E15" s="28">
        <f>(BG_3Años!E7-BG_3Años!D7)-E10-E11-E12-E13-E14-E21-E26</f>
        <v>430</v>
      </c>
      <c r="F15" s="15"/>
      <c r="G15" s="15"/>
    </row>
    <row r="16" spans="1:7" ht="15" customHeight="1" x14ac:dyDescent="0.25">
      <c r="A16" s="15"/>
      <c r="B16" s="20" t="s">
        <v>107</v>
      </c>
      <c r="C16" s="21">
        <f>SUM(C10:C15)</f>
        <v>1455</v>
      </c>
      <c r="D16" s="21">
        <f>SUM(D10:D15)</f>
        <v>1324</v>
      </c>
      <c r="E16" s="21">
        <f>SUM(E10:E15)</f>
        <v>1498</v>
      </c>
      <c r="F16" s="15"/>
      <c r="G16" s="15"/>
    </row>
    <row r="17" spans="1:7" ht="15" customHeight="1" x14ac:dyDescent="0.25">
      <c r="A17" s="15"/>
      <c r="B17" s="15"/>
      <c r="C17" s="15"/>
      <c r="D17" s="15"/>
      <c r="E17" s="15"/>
      <c r="F17" s="15"/>
      <c r="G17" s="15"/>
    </row>
    <row r="18" spans="1:7" ht="15" customHeight="1" x14ac:dyDescent="0.25">
      <c r="A18" s="15"/>
      <c r="B18" s="1" t="s">
        <v>108</v>
      </c>
      <c r="C18" s="1"/>
      <c r="D18" s="1"/>
      <c r="E18" s="1"/>
      <c r="F18" s="15"/>
      <c r="G18" s="15"/>
    </row>
    <row r="19" spans="1:7" ht="15" customHeight="1" x14ac:dyDescent="0.25">
      <c r="A19" s="15"/>
      <c r="B19" s="16" t="s">
        <v>109</v>
      </c>
      <c r="C19" s="19">
        <v>-100</v>
      </c>
      <c r="D19" s="19">
        <v>-100</v>
      </c>
      <c r="E19" s="19">
        <v>-80</v>
      </c>
      <c r="F19" s="15"/>
      <c r="G19" s="15"/>
    </row>
    <row r="20" spans="1:7" ht="15" customHeight="1" x14ac:dyDescent="0.25">
      <c r="A20" s="15"/>
      <c r="B20" s="16" t="s">
        <v>110</v>
      </c>
      <c r="C20" s="19">
        <v>0</v>
      </c>
      <c r="D20" s="19">
        <v>0</v>
      </c>
      <c r="E20" s="19">
        <v>0</v>
      </c>
      <c r="F20" s="15"/>
      <c r="G20" s="15"/>
    </row>
    <row r="21" spans="1:7" ht="15" customHeight="1" x14ac:dyDescent="0.25">
      <c r="A21" s="15"/>
      <c r="B21" s="20" t="s">
        <v>111</v>
      </c>
      <c r="C21" s="21">
        <f>SUM(C19:C20)</f>
        <v>-100</v>
      </c>
      <c r="D21" s="21">
        <f>SUM(D19:D20)</f>
        <v>-100</v>
      </c>
      <c r="E21" s="21">
        <f>SUM(E19:E20)</f>
        <v>-80</v>
      </c>
      <c r="F21" s="15"/>
      <c r="G21" s="15"/>
    </row>
    <row r="22" spans="1:7" ht="15" customHeight="1" x14ac:dyDescent="0.25">
      <c r="A22" s="15"/>
      <c r="B22" s="15"/>
      <c r="C22" s="15"/>
      <c r="D22" s="15"/>
      <c r="E22" s="15"/>
      <c r="F22" s="15"/>
      <c r="G22" s="15"/>
    </row>
    <row r="23" spans="1:7" ht="15" customHeight="1" x14ac:dyDescent="0.25">
      <c r="A23" s="15"/>
      <c r="B23" s="1" t="s">
        <v>112</v>
      </c>
      <c r="C23" s="1"/>
      <c r="D23" s="1"/>
      <c r="E23" s="1"/>
      <c r="F23" s="15"/>
      <c r="G23" s="15"/>
    </row>
    <row r="24" spans="1:7" ht="15" customHeight="1" x14ac:dyDescent="0.25">
      <c r="A24" s="15"/>
      <c r="B24" s="16" t="s">
        <v>113</v>
      </c>
      <c r="C24" s="19">
        <v>0</v>
      </c>
      <c r="D24" s="19">
        <v>0</v>
      </c>
      <c r="E24" s="19">
        <v>0</v>
      </c>
      <c r="F24" s="15"/>
      <c r="G24" s="15"/>
    </row>
    <row r="25" spans="1:7" ht="15" customHeight="1" x14ac:dyDescent="0.25">
      <c r="A25" s="15"/>
      <c r="B25" s="16" t="s">
        <v>114</v>
      </c>
      <c r="C25" s="19">
        <v>-1145</v>
      </c>
      <c r="D25" s="19">
        <v>-1174</v>
      </c>
      <c r="E25" s="19">
        <v>-1578</v>
      </c>
      <c r="F25" s="15"/>
      <c r="G25" s="15"/>
    </row>
    <row r="26" spans="1:7" ht="15" customHeight="1" x14ac:dyDescent="0.25">
      <c r="A26" s="15"/>
      <c r="B26" s="20" t="s">
        <v>115</v>
      </c>
      <c r="C26" s="21">
        <f>SUM(C24:C25)</f>
        <v>-1145</v>
      </c>
      <c r="D26" s="21">
        <f>SUM(D24:D25)</f>
        <v>-1174</v>
      </c>
      <c r="E26" s="21">
        <f>SUM(E24:E25)</f>
        <v>-1578</v>
      </c>
      <c r="F26" s="15"/>
      <c r="G26" s="15"/>
    </row>
    <row r="27" spans="1:7" ht="15" customHeight="1" x14ac:dyDescent="0.25">
      <c r="A27" s="15"/>
      <c r="B27" s="15"/>
      <c r="C27" s="15"/>
      <c r="D27" s="15"/>
      <c r="E27" s="15"/>
      <c r="F27" s="15"/>
      <c r="G27" s="15"/>
    </row>
    <row r="28" spans="1:7" ht="15" customHeight="1" x14ac:dyDescent="0.25">
      <c r="A28" s="15"/>
      <c r="B28" s="20" t="s">
        <v>116</v>
      </c>
      <c r="C28" s="21">
        <f>C16+C21+C26</f>
        <v>210</v>
      </c>
      <c r="D28" s="21">
        <f>D16+D21+D26</f>
        <v>50</v>
      </c>
      <c r="E28" s="21">
        <f>E16+E21+E26</f>
        <v>-160</v>
      </c>
      <c r="F28" s="15"/>
      <c r="G28" s="15"/>
    </row>
    <row r="29" spans="1:7" ht="15" customHeight="1" x14ac:dyDescent="0.25">
      <c r="A29" s="15"/>
      <c r="B29" s="16" t="s">
        <v>117</v>
      </c>
      <c r="C29" s="19">
        <v>900</v>
      </c>
      <c r="D29" s="27">
        <f>BG_3Años!C7</f>
        <v>1110</v>
      </c>
      <c r="E29" s="27">
        <f>BG_3Años!D7</f>
        <v>1160</v>
      </c>
      <c r="F29" s="15"/>
      <c r="G29" s="15"/>
    </row>
    <row r="30" spans="1:7" ht="15" customHeight="1" x14ac:dyDescent="0.25">
      <c r="A30" s="15"/>
      <c r="B30" s="20" t="s">
        <v>118</v>
      </c>
      <c r="C30" s="21">
        <f>C29+C28</f>
        <v>1110</v>
      </c>
      <c r="D30" s="21">
        <f>D29+D28</f>
        <v>1160</v>
      </c>
      <c r="E30" s="21">
        <f>E29+E28</f>
        <v>1000</v>
      </c>
      <c r="F30" s="15"/>
      <c r="G30" s="15"/>
    </row>
    <row r="31" spans="1:7" ht="15" customHeight="1" x14ac:dyDescent="0.25">
      <c r="A31" s="15"/>
      <c r="B31" s="16" t="s">
        <v>119</v>
      </c>
      <c r="C31" s="29">
        <f>C30-BG_3Años!C7</f>
        <v>0</v>
      </c>
      <c r="D31" s="29">
        <f>D30-BG_3Años!D7</f>
        <v>0</v>
      </c>
      <c r="E31" s="29">
        <f>E30-BG_3Años!E7</f>
        <v>0</v>
      </c>
      <c r="F31" s="15"/>
      <c r="G31" s="15"/>
    </row>
    <row r="32" spans="1:7" ht="15" customHeight="1" x14ac:dyDescent="0.25">
      <c r="A32" s="15"/>
      <c r="B32" s="15"/>
      <c r="C32" s="15"/>
      <c r="D32" s="15"/>
      <c r="E32" s="15"/>
      <c r="F32" s="15"/>
      <c r="G32" s="15"/>
    </row>
    <row r="33" spans="1:7" ht="15" customHeight="1" x14ac:dyDescent="0.25">
      <c r="A33" s="15"/>
      <c r="B33" s="2" t="s">
        <v>120</v>
      </c>
      <c r="C33" s="2"/>
      <c r="D33" s="2"/>
      <c r="E33" s="2"/>
      <c r="F33" s="15"/>
      <c r="G33" s="15"/>
    </row>
    <row r="34" spans="1:7" ht="15" customHeight="1" x14ac:dyDescent="0.25">
      <c r="A34" s="15"/>
      <c r="B34" s="2"/>
      <c r="C34" s="2"/>
      <c r="D34" s="2"/>
      <c r="E34" s="2"/>
      <c r="F34" s="15"/>
      <c r="G34" s="15"/>
    </row>
    <row r="35" spans="1:7" ht="15" customHeight="1" x14ac:dyDescent="0.25">
      <c r="A35" s="15"/>
      <c r="B35" s="2"/>
      <c r="C35" s="2"/>
      <c r="D35" s="2"/>
      <c r="E35" s="2"/>
      <c r="F35" s="15"/>
      <c r="G35" s="15"/>
    </row>
    <row r="36" spans="1:7" ht="15" customHeight="1" x14ac:dyDescent="0.25">
      <c r="A36" s="15"/>
      <c r="B36" s="2"/>
      <c r="C36" s="2"/>
      <c r="D36" s="2"/>
      <c r="E36" s="2"/>
      <c r="F36" s="15"/>
      <c r="G36" s="15"/>
    </row>
  </sheetData>
  <mergeCells count="6">
    <mergeCell ref="B33:E36"/>
    <mergeCell ref="B2:G2"/>
    <mergeCell ref="B3:G3"/>
    <mergeCell ref="B9:E9"/>
    <mergeCell ref="B18:E18"/>
    <mergeCell ref="B23:E23"/>
  </mergeCells>
  <conditionalFormatting sqref="C31:E31">
    <cfRule type="expression" dxfId="76" priority="2">
      <formula>ABS(C31)&lt;0.01</formula>
    </cfRule>
    <cfRule type="expression" dxfId="75" priority="3">
      <formula>ABS(C31)&gt;=0.01</formula>
    </cfRule>
  </conditionalFormatting>
  <pageMargins left="0.3" right="0.3" top="0.4" bottom="0.4"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0808D"/>
    <pageSetUpPr fitToPage="1"/>
  </sheetPr>
  <dimension ref="A1:I33"/>
  <sheetViews>
    <sheetView showGridLines="0" zoomScaleNormal="100" workbookViewId="0">
      <pane xSplit="2" ySplit="12" topLeftCell="C13" activePane="bottomRight" state="frozen"/>
      <selection pane="topRight" activeCell="C1" sqref="C1"/>
      <selection pane="bottomLeft" activeCell="A13" sqref="A13"/>
      <selection pane="bottomRight"/>
    </sheetView>
  </sheetViews>
  <sheetFormatPr baseColWidth="10" defaultColWidth="8.7109375" defaultRowHeight="15" x14ac:dyDescent="0.25"/>
  <cols>
    <col min="1" max="1" width="3" customWidth="1"/>
    <col min="2" max="2" width="34" customWidth="1"/>
    <col min="3" max="9" width="13" customWidth="1"/>
  </cols>
  <sheetData>
    <row r="1" spans="1:9" ht="7.5" customHeight="1" x14ac:dyDescent="0.25">
      <c r="A1" s="15"/>
      <c r="B1" s="15"/>
      <c r="C1" s="15"/>
      <c r="D1" s="15"/>
      <c r="E1" s="15"/>
      <c r="F1" s="15"/>
      <c r="G1" s="15"/>
      <c r="H1" s="15"/>
      <c r="I1" s="15"/>
    </row>
    <row r="2" spans="1:9" ht="27.75" customHeight="1" x14ac:dyDescent="0.25">
      <c r="A2" s="15"/>
      <c r="B2" s="14" t="s">
        <v>121</v>
      </c>
      <c r="C2" s="14"/>
      <c r="D2" s="14"/>
      <c r="E2" s="14"/>
      <c r="F2" s="14"/>
      <c r="G2" s="14"/>
      <c r="H2" s="14"/>
      <c r="I2" s="14"/>
    </row>
    <row r="3" spans="1:9" ht="18" customHeight="1" x14ac:dyDescent="0.25">
      <c r="A3" s="15"/>
      <c r="B3" s="13" t="s">
        <v>122</v>
      </c>
      <c r="C3" s="13"/>
      <c r="D3" s="13"/>
      <c r="E3" s="13"/>
      <c r="F3" s="13"/>
      <c r="G3" s="13"/>
      <c r="H3" s="13"/>
      <c r="I3" s="13"/>
    </row>
    <row r="4" spans="1:9" ht="15" customHeight="1" x14ac:dyDescent="0.25">
      <c r="A4" s="15"/>
      <c r="B4" s="15"/>
      <c r="C4" s="15"/>
      <c r="D4" s="15"/>
      <c r="E4" s="15"/>
      <c r="F4" s="15"/>
      <c r="G4" s="15"/>
      <c r="H4" s="15"/>
      <c r="I4" s="15"/>
    </row>
    <row r="5" spans="1:9" ht="15" customHeight="1" x14ac:dyDescent="0.25">
      <c r="A5" s="15"/>
      <c r="B5" s="12" t="s">
        <v>123</v>
      </c>
      <c r="C5" s="12"/>
      <c r="D5" s="12"/>
      <c r="E5" s="15"/>
      <c r="F5" s="15"/>
      <c r="G5" s="15"/>
      <c r="H5" s="15"/>
      <c r="I5" s="15"/>
    </row>
    <row r="6" spans="1:9" ht="15" customHeight="1" x14ac:dyDescent="0.25">
      <c r="A6" s="15"/>
      <c r="B6" s="30" t="s">
        <v>124</v>
      </c>
      <c r="C6" s="26">
        <v>3000</v>
      </c>
      <c r="D6" s="15"/>
      <c r="E6" s="15"/>
      <c r="F6" s="15"/>
      <c r="G6" s="15"/>
      <c r="H6" s="15"/>
      <c r="I6" s="15"/>
    </row>
    <row r="7" spans="1:9" ht="15" customHeight="1" x14ac:dyDescent="0.25">
      <c r="A7" s="15"/>
      <c r="B7" s="30" t="s">
        <v>125</v>
      </c>
      <c r="C7" s="31">
        <v>0.12</v>
      </c>
      <c r="D7" s="15"/>
      <c r="E7" s="15"/>
      <c r="F7" s="15"/>
      <c r="G7" s="15"/>
      <c r="H7" s="15"/>
      <c r="I7" s="15"/>
    </row>
    <row r="8" spans="1:9" ht="15" customHeight="1" x14ac:dyDescent="0.25">
      <c r="A8" s="15"/>
      <c r="B8" s="30" t="s">
        <v>126</v>
      </c>
      <c r="C8" s="32">
        <v>6</v>
      </c>
      <c r="D8" s="15"/>
      <c r="E8" s="15"/>
      <c r="F8" s="15"/>
      <c r="G8" s="15"/>
      <c r="H8" s="15"/>
      <c r="I8" s="15"/>
    </row>
    <row r="9" spans="1:9" ht="15" customHeight="1" x14ac:dyDescent="0.25">
      <c r="A9" s="15"/>
      <c r="B9" s="30" t="s">
        <v>127</v>
      </c>
      <c r="C9" s="32">
        <v>2026</v>
      </c>
      <c r="D9" s="15"/>
      <c r="E9" s="15"/>
      <c r="F9" s="15"/>
      <c r="G9" s="15"/>
      <c r="H9" s="15"/>
      <c r="I9" s="15"/>
    </row>
    <row r="10" spans="1:9" ht="15" customHeight="1" x14ac:dyDescent="0.25">
      <c r="A10" s="15"/>
      <c r="B10" s="30" t="s">
        <v>128</v>
      </c>
      <c r="C10" s="32">
        <v>1</v>
      </c>
      <c r="D10" s="15"/>
      <c r="E10" s="15"/>
      <c r="F10" s="15"/>
      <c r="G10" s="15"/>
      <c r="H10" s="15"/>
      <c r="I10" s="15"/>
    </row>
    <row r="11" spans="1:9" ht="15" customHeight="1" x14ac:dyDescent="0.25">
      <c r="A11" s="15"/>
      <c r="B11" s="30" t="s">
        <v>129</v>
      </c>
      <c r="C11" s="26">
        <v>600</v>
      </c>
      <c r="D11" s="15"/>
      <c r="E11" s="15"/>
      <c r="F11" s="15"/>
      <c r="G11" s="15"/>
      <c r="H11" s="15"/>
      <c r="I11" s="15"/>
    </row>
    <row r="12" spans="1:9" ht="15" customHeight="1" x14ac:dyDescent="0.25">
      <c r="A12" s="15"/>
      <c r="B12" s="15"/>
      <c r="C12" s="15"/>
      <c r="D12" s="15"/>
      <c r="E12" s="15"/>
      <c r="F12" s="15"/>
      <c r="G12" s="15"/>
      <c r="H12" s="15"/>
      <c r="I12" s="15"/>
    </row>
    <row r="13" spans="1:9" ht="15" customHeight="1" x14ac:dyDescent="0.25">
      <c r="A13" s="15"/>
      <c r="B13" s="12" t="s">
        <v>130</v>
      </c>
      <c r="C13" s="12"/>
      <c r="D13" s="12"/>
      <c r="E13" s="12"/>
      <c r="F13" s="12"/>
      <c r="G13" s="12"/>
      <c r="H13" s="12"/>
      <c r="I13" s="12"/>
    </row>
    <row r="14" spans="1:9" ht="19.5" customHeight="1" x14ac:dyDescent="0.25">
      <c r="A14" s="15"/>
      <c r="B14" s="18" t="s">
        <v>131</v>
      </c>
      <c r="C14" s="18">
        <v>2026</v>
      </c>
      <c r="D14" s="18">
        <v>2027</v>
      </c>
      <c r="E14" s="18">
        <v>2028</v>
      </c>
      <c r="F14" s="18">
        <v>2029</v>
      </c>
      <c r="G14" s="18">
        <v>2030</v>
      </c>
      <c r="H14" s="18">
        <v>2031</v>
      </c>
      <c r="I14" s="15"/>
    </row>
    <row r="15" spans="1:9" ht="15" customHeight="1" x14ac:dyDescent="0.25">
      <c r="A15" s="15"/>
      <c r="B15" s="30" t="s">
        <v>132</v>
      </c>
      <c r="C15" s="33">
        <f>C6</f>
        <v>3000</v>
      </c>
      <c r="D15" s="33">
        <f>C17</f>
        <v>3000</v>
      </c>
      <c r="E15" s="33">
        <f>D17</f>
        <v>2400</v>
      </c>
      <c r="F15" s="33">
        <f>E17</f>
        <v>1800</v>
      </c>
      <c r="G15" s="33">
        <f>F17</f>
        <v>1200</v>
      </c>
      <c r="H15" s="33">
        <f>G17</f>
        <v>600</v>
      </c>
      <c r="I15" s="15"/>
    </row>
    <row r="16" spans="1:9" ht="15" customHeight="1" x14ac:dyDescent="0.25">
      <c r="A16" s="15"/>
      <c r="B16" s="30" t="s">
        <v>133</v>
      </c>
      <c r="C16" s="33">
        <v>0</v>
      </c>
      <c r="D16" s="33">
        <f>MIN(C11,D15)</f>
        <v>600</v>
      </c>
      <c r="E16" s="33">
        <f>MIN(C11,E15)</f>
        <v>600</v>
      </c>
      <c r="F16" s="33">
        <f>MIN(C11,F15)</f>
        <v>600</v>
      </c>
      <c r="G16" s="33">
        <f>MIN(C11,G15)</f>
        <v>600</v>
      </c>
      <c r="H16" s="33">
        <f>MIN(C11,H15)</f>
        <v>600</v>
      </c>
      <c r="I16" s="15"/>
    </row>
    <row r="17" spans="1:9" ht="15" customHeight="1" x14ac:dyDescent="0.25">
      <c r="A17" s="15"/>
      <c r="B17" s="30" t="s">
        <v>134</v>
      </c>
      <c r="C17" s="33">
        <f t="shared" ref="C17:H17" si="0">C15-C16</f>
        <v>3000</v>
      </c>
      <c r="D17" s="33">
        <f t="shared" si="0"/>
        <v>2400</v>
      </c>
      <c r="E17" s="33">
        <f t="shared" si="0"/>
        <v>1800</v>
      </c>
      <c r="F17" s="33">
        <f t="shared" si="0"/>
        <v>1200</v>
      </c>
      <c r="G17" s="33">
        <f t="shared" si="0"/>
        <v>600</v>
      </c>
      <c r="H17" s="33">
        <f t="shared" si="0"/>
        <v>0</v>
      </c>
      <c r="I17" s="15"/>
    </row>
    <row r="18" spans="1:9" ht="15" customHeight="1" x14ac:dyDescent="0.25">
      <c r="A18" s="15"/>
      <c r="B18" s="30" t="s">
        <v>135</v>
      </c>
      <c r="C18" s="33">
        <f>AVERAGE(C15,C17)*C7</f>
        <v>360</v>
      </c>
      <c r="D18" s="33">
        <f>AVERAGE(D15,D17)*C7</f>
        <v>324</v>
      </c>
      <c r="E18" s="33">
        <f>AVERAGE(E15,E17)*C7</f>
        <v>252</v>
      </c>
      <c r="F18" s="33">
        <f>AVERAGE(F15,F17)*C7</f>
        <v>180</v>
      </c>
      <c r="G18" s="33">
        <f>AVERAGE(G15,G17)*C7</f>
        <v>108</v>
      </c>
      <c r="H18" s="33">
        <f>AVERAGE(H15,H17)*C7</f>
        <v>36</v>
      </c>
      <c r="I18" s="15"/>
    </row>
    <row r="19" spans="1:9" ht="15" customHeight="1" x14ac:dyDescent="0.25">
      <c r="A19" s="15"/>
      <c r="B19" s="17" t="s">
        <v>136</v>
      </c>
      <c r="C19" s="21">
        <f t="shared" ref="C19:H19" si="1">C18+C16</f>
        <v>360</v>
      </c>
      <c r="D19" s="21">
        <f t="shared" si="1"/>
        <v>924</v>
      </c>
      <c r="E19" s="21">
        <f t="shared" si="1"/>
        <v>852</v>
      </c>
      <c r="F19" s="21">
        <f t="shared" si="1"/>
        <v>780</v>
      </c>
      <c r="G19" s="21">
        <f t="shared" si="1"/>
        <v>708</v>
      </c>
      <c r="H19" s="21">
        <f t="shared" si="1"/>
        <v>636</v>
      </c>
      <c r="I19" s="15"/>
    </row>
    <row r="20" spans="1:9" ht="15" customHeight="1" x14ac:dyDescent="0.25">
      <c r="A20" s="15"/>
      <c r="B20" s="30" t="s">
        <v>137</v>
      </c>
      <c r="C20" s="19">
        <v>822</v>
      </c>
      <c r="D20" s="19">
        <v>950</v>
      </c>
      <c r="E20" s="19">
        <v>1120</v>
      </c>
      <c r="F20" s="19">
        <v>1308</v>
      </c>
      <c r="G20" s="19">
        <v>1494</v>
      </c>
      <c r="H20" s="19">
        <v>1494</v>
      </c>
      <c r="I20" s="15"/>
    </row>
    <row r="21" spans="1:9" ht="15" customHeight="1" x14ac:dyDescent="0.25">
      <c r="A21" s="15"/>
      <c r="B21" s="17" t="s">
        <v>138</v>
      </c>
      <c r="C21" s="34">
        <f t="shared" ref="C21:H21" si="2">IF(C19=0,"",C20/C19)</f>
        <v>2.2833333333333332</v>
      </c>
      <c r="D21" s="34">
        <f t="shared" si="2"/>
        <v>1.0281385281385282</v>
      </c>
      <c r="E21" s="34">
        <f t="shared" si="2"/>
        <v>1.3145539906103287</v>
      </c>
      <c r="F21" s="34">
        <f t="shared" si="2"/>
        <v>1.676923076923077</v>
      </c>
      <c r="G21" s="34">
        <f t="shared" si="2"/>
        <v>2.1101694915254239</v>
      </c>
      <c r="H21" s="34">
        <f t="shared" si="2"/>
        <v>2.3490566037735849</v>
      </c>
      <c r="I21" s="15"/>
    </row>
    <row r="22" spans="1:9" ht="15" customHeight="1" x14ac:dyDescent="0.25">
      <c r="A22" s="15"/>
      <c r="B22" s="15"/>
      <c r="C22" s="15"/>
      <c r="D22" s="15"/>
      <c r="E22" s="15"/>
      <c r="F22" s="15"/>
      <c r="G22" s="15"/>
      <c r="H22" s="15"/>
      <c r="I22" s="15"/>
    </row>
    <row r="23" spans="1:9" ht="15" customHeight="1" x14ac:dyDescent="0.25">
      <c r="A23" s="15"/>
      <c r="B23" s="12" t="s">
        <v>139</v>
      </c>
      <c r="C23" s="12"/>
      <c r="D23" s="12"/>
      <c r="E23" s="15"/>
      <c r="F23" s="15"/>
      <c r="G23" s="15"/>
      <c r="H23" s="15"/>
      <c r="I23" s="15"/>
    </row>
    <row r="24" spans="1:9" ht="15" customHeight="1" x14ac:dyDescent="0.25">
      <c r="A24" s="15"/>
      <c r="B24" s="15" t="s">
        <v>140</v>
      </c>
      <c r="C24" s="35">
        <f>MIN(C21:H21)</f>
        <v>1.0281385281385282</v>
      </c>
      <c r="D24" s="15"/>
      <c r="E24" s="15"/>
      <c r="F24" s="15"/>
      <c r="G24" s="15"/>
      <c r="H24" s="15"/>
      <c r="I24" s="15"/>
    </row>
    <row r="25" spans="1:9" ht="15" customHeight="1" x14ac:dyDescent="0.25">
      <c r="A25" s="15"/>
      <c r="B25" s="15" t="s">
        <v>141</v>
      </c>
      <c r="C25" s="36" t="str">
        <f>IF(C24&gt;=1.25,"Verde: aceptable",IF(C24&gt;=1.1,"Amarillo: alerta","Rojo: revisión"))</f>
        <v>Rojo: revisión</v>
      </c>
      <c r="D25" s="15"/>
      <c r="E25" s="15"/>
      <c r="F25" s="15"/>
      <c r="G25" s="15"/>
      <c r="H25" s="15"/>
      <c r="I25" s="15"/>
    </row>
    <row r="26" spans="1:9" ht="15" customHeight="1" x14ac:dyDescent="0.25">
      <c r="A26" s="15"/>
      <c r="B26" s="15" t="s">
        <v>142</v>
      </c>
      <c r="C26" s="37">
        <v>1.25</v>
      </c>
      <c r="D26" s="15"/>
      <c r="E26" s="15"/>
      <c r="F26" s="15"/>
      <c r="G26" s="15"/>
      <c r="H26" s="15"/>
      <c r="I26" s="15"/>
    </row>
    <row r="27" spans="1:9" ht="15" customHeight="1" x14ac:dyDescent="0.25">
      <c r="A27" s="15"/>
      <c r="B27" s="15"/>
      <c r="C27" s="15"/>
      <c r="D27" s="15"/>
      <c r="E27" s="15"/>
      <c r="F27" s="15"/>
      <c r="G27" s="15"/>
      <c r="H27" s="15"/>
      <c r="I27" s="15"/>
    </row>
    <row r="28" spans="1:9" ht="15" customHeight="1" x14ac:dyDescent="0.25">
      <c r="A28" s="15"/>
      <c r="B28" s="2" t="s">
        <v>143</v>
      </c>
      <c r="C28" s="2"/>
      <c r="D28" s="2"/>
      <c r="E28" s="2"/>
      <c r="F28" s="2"/>
      <c r="G28" s="2"/>
      <c r="H28" s="2"/>
      <c r="I28" s="2"/>
    </row>
    <row r="29" spans="1:9" ht="15" customHeight="1" x14ac:dyDescent="0.25">
      <c r="A29" s="15"/>
      <c r="B29" s="2"/>
      <c r="C29" s="2"/>
      <c r="D29" s="2"/>
      <c r="E29" s="2"/>
      <c r="F29" s="2"/>
      <c r="G29" s="2"/>
      <c r="H29" s="2"/>
      <c r="I29" s="2"/>
    </row>
    <row r="30" spans="1:9" ht="15" customHeight="1" x14ac:dyDescent="0.25">
      <c r="A30" s="15"/>
      <c r="B30" s="2"/>
      <c r="C30" s="2"/>
      <c r="D30" s="2"/>
      <c r="E30" s="2"/>
      <c r="F30" s="2"/>
      <c r="G30" s="2"/>
      <c r="H30" s="2"/>
      <c r="I30" s="2"/>
    </row>
    <row r="31" spans="1:9" ht="15" customHeight="1" x14ac:dyDescent="0.25">
      <c r="A31" s="15"/>
      <c r="B31" s="2"/>
      <c r="C31" s="2"/>
      <c r="D31" s="2"/>
      <c r="E31" s="2"/>
      <c r="F31" s="2"/>
      <c r="G31" s="2"/>
      <c r="H31" s="2"/>
      <c r="I31" s="2"/>
    </row>
    <row r="33" spans="2:8" ht="15" customHeight="1" x14ac:dyDescent="0.25">
      <c r="B33" s="38" t="s">
        <v>143</v>
      </c>
      <c r="C33" s="39">
        <f t="shared" ref="C33:H33" si="3">$C$26</f>
        <v>1.25</v>
      </c>
      <c r="D33" s="39">
        <f t="shared" si="3"/>
        <v>1.25</v>
      </c>
      <c r="E33" s="39">
        <f t="shared" si="3"/>
        <v>1.25</v>
      </c>
      <c r="F33" s="39">
        <f t="shared" si="3"/>
        <v>1.25</v>
      </c>
      <c r="G33" s="39">
        <f t="shared" si="3"/>
        <v>1.25</v>
      </c>
      <c r="H33" s="39">
        <f t="shared" si="3"/>
        <v>1.25</v>
      </c>
    </row>
  </sheetData>
  <mergeCells count="6">
    <mergeCell ref="B28:I31"/>
    <mergeCell ref="B2:I2"/>
    <mergeCell ref="B3:I3"/>
    <mergeCell ref="B5:D5"/>
    <mergeCell ref="B13:I13"/>
    <mergeCell ref="B23:D23"/>
  </mergeCells>
  <conditionalFormatting sqref="C25">
    <cfRule type="expression" dxfId="74" priority="2">
      <formula>ISNUMBER(SEARCH("Verde",C25))</formula>
    </cfRule>
    <cfRule type="expression" dxfId="73" priority="3">
      <formula>ISNUMBER(SEARCH("Amarillo",C25))</formula>
    </cfRule>
    <cfRule type="expression" dxfId="72" priority="4">
      <formula>ISNUMBER(SEARCH("Rojo",C25))</formula>
    </cfRule>
  </conditionalFormatting>
  <conditionalFormatting sqref="C21:H21">
    <cfRule type="expression" dxfId="71" priority="5">
      <formula>C21&gt;=1.25</formula>
    </cfRule>
    <cfRule type="expression" dxfId="70" priority="6">
      <formula>AND(C21&gt;=1.1,C21&lt;1.25)</formula>
    </cfRule>
    <cfRule type="expression" dxfId="69" priority="7">
      <formula>C21&lt;1.1</formula>
    </cfRule>
  </conditionalFormatting>
  <pageMargins left="0.3" right="0.3" top="0.4" bottom="0.4" header="0.511811023622047" footer="0.511811023622047"/>
  <pageSetup paperSize="9" fitToHeight="0" orientation="landscape"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0808D"/>
    <pageSetUpPr fitToPage="1"/>
  </sheetPr>
  <dimension ref="A1:J36"/>
  <sheetViews>
    <sheetView showGridLines="0" zoomScaleNormal="100" workbookViewId="0">
      <pane xSplit="2" ySplit="5" topLeftCell="C6" activePane="bottomRight" state="frozen"/>
      <selection pane="topRight" activeCell="C1" sqref="C1"/>
      <selection pane="bottomLeft" activeCell="A6" sqref="A6"/>
      <selection pane="bottomRight"/>
    </sheetView>
  </sheetViews>
  <sheetFormatPr baseColWidth="10" defaultColWidth="8.7109375" defaultRowHeight="15" x14ac:dyDescent="0.25"/>
  <cols>
    <col min="1" max="1" width="3" customWidth="1"/>
    <col min="2" max="2" width="42" customWidth="1"/>
    <col min="3" max="5" width="13" customWidth="1"/>
    <col min="6" max="6" width="2" customWidth="1"/>
    <col min="7" max="8" width="30" customWidth="1"/>
    <col min="9" max="9" width="16" customWidth="1"/>
    <col min="10" max="10" width="13" customWidth="1"/>
  </cols>
  <sheetData>
    <row r="1" spans="1:10" ht="7.5" customHeight="1" x14ac:dyDescent="0.25">
      <c r="A1" s="15"/>
      <c r="B1" s="15"/>
      <c r="C1" s="15"/>
      <c r="D1" s="15"/>
      <c r="E1" s="15"/>
      <c r="F1" s="15"/>
      <c r="G1" s="15"/>
      <c r="H1" s="15"/>
      <c r="I1" s="15"/>
      <c r="J1" s="15"/>
    </row>
    <row r="2" spans="1:10" ht="27.75" customHeight="1" x14ac:dyDescent="0.25">
      <c r="A2" s="15"/>
      <c r="B2" s="14" t="s">
        <v>144</v>
      </c>
      <c r="C2" s="14"/>
      <c r="D2" s="14"/>
      <c r="E2" s="14"/>
      <c r="F2" s="14"/>
      <c r="G2" s="14"/>
      <c r="H2" s="14"/>
      <c r="I2" s="14"/>
      <c r="J2" s="14"/>
    </row>
    <row r="3" spans="1:10" ht="18" customHeight="1" x14ac:dyDescent="0.25">
      <c r="A3" s="15"/>
      <c r="B3" s="13" t="s">
        <v>145</v>
      </c>
      <c r="C3" s="13"/>
      <c r="D3" s="13"/>
      <c r="E3" s="13"/>
      <c r="F3" s="13"/>
      <c r="G3" s="13"/>
      <c r="H3" s="13"/>
      <c r="I3" s="13"/>
      <c r="J3" s="13"/>
    </row>
    <row r="4" spans="1:10" ht="15" customHeight="1" x14ac:dyDescent="0.25">
      <c r="A4" s="15"/>
      <c r="B4" s="15"/>
      <c r="C4" s="15"/>
      <c r="D4" s="15"/>
      <c r="E4" s="15"/>
      <c r="F4" s="15"/>
      <c r="G4" s="15"/>
      <c r="H4" s="15"/>
      <c r="I4" s="15"/>
      <c r="J4" s="15"/>
    </row>
    <row r="5" spans="1:10" ht="24" customHeight="1" x14ac:dyDescent="0.25">
      <c r="A5" s="15"/>
      <c r="B5" s="40" t="s">
        <v>146</v>
      </c>
      <c r="C5" s="40">
        <v>2023</v>
      </c>
      <c r="D5" s="40">
        <v>2024</v>
      </c>
      <c r="E5" s="40">
        <v>2025</v>
      </c>
      <c r="F5" s="15"/>
      <c r="G5" s="40" t="s">
        <v>147</v>
      </c>
      <c r="H5" s="40" t="s">
        <v>148</v>
      </c>
      <c r="I5" s="40" t="s">
        <v>149</v>
      </c>
      <c r="J5" s="15"/>
    </row>
    <row r="6" spans="1:10" ht="15" customHeight="1" x14ac:dyDescent="0.25">
      <c r="A6" s="15"/>
      <c r="B6" s="1" t="s">
        <v>150</v>
      </c>
      <c r="C6" s="1"/>
      <c r="D6" s="1"/>
      <c r="E6" s="1"/>
      <c r="F6" s="15"/>
      <c r="G6" s="15"/>
      <c r="H6" s="15"/>
      <c r="I6" s="15"/>
      <c r="J6" s="15"/>
    </row>
    <row r="7" spans="1:10" ht="21.75" customHeight="1" x14ac:dyDescent="0.25">
      <c r="A7" s="15"/>
      <c r="B7" s="16" t="s">
        <v>151</v>
      </c>
      <c r="C7" s="41">
        <f>BG_3Años!C11/BG_3Años!C20</f>
        <v>6.8469387755102042</v>
      </c>
      <c r="D7" s="41">
        <f>BG_3Años!D11/BG_3Años!D20</f>
        <v>6.3773584905660377</v>
      </c>
      <c r="E7" s="41">
        <f>BG_3Años!E11/BG_3Años!E20</f>
        <v>4.5454545454545459</v>
      </c>
      <c r="F7" s="15"/>
      <c r="G7" s="42" t="s">
        <v>152</v>
      </c>
      <c r="H7" s="42" t="s">
        <v>153</v>
      </c>
      <c r="I7" s="43" t="str">
        <f>IF(E7&gt;=1.5,"Verde: aceptable",IF(AND(E7&gt;=1,E7&lt;1.5),"Amarillo: alerta","Rojo: revisión"))</f>
        <v>Verde: aceptable</v>
      </c>
      <c r="J7" s="15"/>
    </row>
    <row r="8" spans="1:10" ht="21.75" customHeight="1" x14ac:dyDescent="0.25">
      <c r="A8" s="15"/>
      <c r="B8" s="16" t="s">
        <v>154</v>
      </c>
      <c r="C8" s="41">
        <f>(BG_3Años!C7+BG_3Años!C8)/BG_3Años!C20</f>
        <v>5.0510204081632653</v>
      </c>
      <c r="D8" s="41">
        <f>(BG_3Años!D7+BG_3Años!D8)/BG_3Años!D20</f>
        <v>4.632075471698113</v>
      </c>
      <c r="E8" s="41">
        <f>(BG_3Años!E7+BG_3Años!E8)/BG_3Años!E20</f>
        <v>3.2167832167832167</v>
      </c>
      <c r="F8" s="15"/>
      <c r="G8" s="42" t="s">
        <v>155</v>
      </c>
      <c r="H8" s="42" t="s">
        <v>156</v>
      </c>
      <c r="I8" s="43" t="str">
        <f>IF(E8&gt;=1,"Verde: aceptable",IF(AND(E8&gt;=0.75,E8&lt;1),"Amarillo: alerta","Rojo: revisión"))</f>
        <v>Verde: aceptable</v>
      </c>
      <c r="J8" s="15"/>
    </row>
    <row r="9" spans="1:10" ht="21.75" customHeight="1" x14ac:dyDescent="0.25">
      <c r="A9" s="15"/>
      <c r="B9" s="16" t="s">
        <v>157</v>
      </c>
      <c r="C9" s="44">
        <f>(BG_3Años!C11-BG_3Años!C20)/BG_3Años!C14</f>
        <v>0.79916317991631802</v>
      </c>
      <c r="D9" s="44">
        <f>(BG_3Años!D11-BG_3Años!D20)/BG_3Años!D14</f>
        <v>0.79166666666666663</v>
      </c>
      <c r="E9" s="44">
        <f>(BG_3Años!E11-BG_3Años!E20)/BG_3Años!E14</f>
        <v>0.73160173160173159</v>
      </c>
      <c r="F9" s="15"/>
      <c r="G9" s="42" t="s">
        <v>158</v>
      </c>
      <c r="H9" s="42" t="s">
        <v>159</v>
      </c>
      <c r="I9" s="43" t="str">
        <f>IF(E9&gt;=0.2,"Verde: aceptable",IF(AND(E9&gt;=0.05,E9&lt;0.2),"Amarillo: alerta","Rojo: revisión"))</f>
        <v>Verde: aceptable</v>
      </c>
      <c r="J9" s="15"/>
    </row>
    <row r="10" spans="1:10" ht="15" customHeight="1" x14ac:dyDescent="0.25">
      <c r="A10" s="15"/>
      <c r="B10" s="1" t="s">
        <v>160</v>
      </c>
      <c r="C10" s="1"/>
      <c r="D10" s="1"/>
      <c r="E10" s="1"/>
      <c r="F10" s="15"/>
      <c r="G10" s="15"/>
      <c r="H10" s="15"/>
      <c r="I10" s="15"/>
      <c r="J10" s="15"/>
    </row>
    <row r="11" spans="1:10" ht="21.75" customHeight="1" x14ac:dyDescent="0.25">
      <c r="A11" s="15"/>
      <c r="B11" s="16" t="s">
        <v>161</v>
      </c>
      <c r="C11" s="41">
        <f>BG_3Años!C23/BG_3Años!C26</f>
        <v>0.15831987075928919</v>
      </c>
      <c r="D11" s="41">
        <f>BG_3Años!D23/BG_3Años!D26</f>
        <v>0.17263843648208468</v>
      </c>
      <c r="E11" s="41">
        <f>BG_3Años!E23/BG_3Años!E26</f>
        <v>0.26</v>
      </c>
      <c r="F11" s="15"/>
      <c r="G11" s="42" t="s">
        <v>162</v>
      </c>
      <c r="H11" s="42" t="s">
        <v>163</v>
      </c>
      <c r="I11" s="43" t="str">
        <f>IF(E11&lt;=1.5,"Verde: aceptable",IF(AND(E11&gt;1.5,E11&lt;=2.5),"Amarillo: alerta","Rojo: revisión"))</f>
        <v>Verde: aceptable</v>
      </c>
      <c r="J11" s="15"/>
    </row>
    <row r="12" spans="1:10" ht="21.75" customHeight="1" x14ac:dyDescent="0.25">
      <c r="A12" s="15"/>
      <c r="B12" s="16" t="s">
        <v>164</v>
      </c>
      <c r="C12" s="44">
        <f>BG_3Años!C23/BG_3Años!C14</f>
        <v>0.13668061366806136</v>
      </c>
      <c r="D12" s="44">
        <f>BG_3Años!D23/BG_3Años!D14</f>
        <v>0.14722222222222223</v>
      </c>
      <c r="E12" s="44">
        <f>BG_3Años!E23/BG_3Años!E14</f>
        <v>0.20634920634920634</v>
      </c>
      <c r="F12" s="15"/>
      <c r="G12" s="42" t="s">
        <v>165</v>
      </c>
      <c r="H12" s="42" t="s">
        <v>166</v>
      </c>
      <c r="I12" s="43" t="str">
        <f>IF(E12&lt;=0.6,"Verde: aceptable",IF(AND(E12&gt;0.6,E12&lt;=0.75),"Amarillo: alerta","Rojo: revisión"))</f>
        <v>Verde: aceptable</v>
      </c>
      <c r="J12" s="15"/>
    </row>
    <row r="13" spans="1:10" ht="21.75" customHeight="1" x14ac:dyDescent="0.25">
      <c r="A13" s="15"/>
      <c r="B13" s="16" t="s">
        <v>167</v>
      </c>
      <c r="C13" s="45">
        <f>IF(ER_3Años!C19&lt;=0,"N/A (EBITDA&lt;=0)",((BG_3Años!C18+BG_3Años!C21)-BG_3Años!C7)/ER_3Años!C19)</f>
        <v>-0.53365384615384615</v>
      </c>
      <c r="D13" s="45">
        <f>IF(ER_3Años!D19&lt;=0,"N/A (EBITDA&lt;=0)",((BG_3Años!D18+BG_3Años!D21)-BG_3Años!D7)/ER_3Años!D19)</f>
        <v>-0.6568516421291053</v>
      </c>
      <c r="E13" s="45">
        <f>IF(ER_3Años!E19&lt;=0,"N/A (EBITDA&lt;=0)",((BG_3Años!E18+BG_3Años!E21)-BG_3Años!E7)/ER_3Años!E19)</f>
        <v>-0.67430883344571813</v>
      </c>
      <c r="F13" s="15"/>
      <c r="G13" s="42" t="s">
        <v>168</v>
      </c>
      <c r="H13" s="42" t="s">
        <v>169</v>
      </c>
      <c r="I13" s="43" t="str">
        <f>IF(ISTEXT(E13),"Rojo: revisión",IF(E13&lt;=3,"Verde: aceptable",IF(E13&lt;=4,"Amarillo: alerta","Rojo: revisión")))</f>
        <v>Verde: aceptable</v>
      </c>
      <c r="J13" s="15"/>
    </row>
    <row r="14" spans="1:10" ht="15" customHeight="1" x14ac:dyDescent="0.25">
      <c r="A14" s="15"/>
      <c r="B14" s="1" t="s">
        <v>170</v>
      </c>
      <c r="C14" s="1"/>
      <c r="D14" s="1"/>
      <c r="E14" s="1"/>
      <c r="F14" s="15"/>
      <c r="G14" s="15"/>
      <c r="H14" s="15"/>
      <c r="I14" s="15"/>
      <c r="J14" s="15"/>
    </row>
    <row r="15" spans="1:10" ht="21.75" customHeight="1" x14ac:dyDescent="0.25">
      <c r="A15" s="15"/>
      <c r="B15" s="16" t="s">
        <v>171</v>
      </c>
      <c r="C15" s="44">
        <f>ER_3Años!C8/ER_3Años!C6</f>
        <v>0.32</v>
      </c>
      <c r="D15" s="44">
        <f>ER_3Años!D8/ER_3Años!D6</f>
        <v>0.31</v>
      </c>
      <c r="E15" s="44">
        <f>ER_3Años!E8/ER_3Años!E6</f>
        <v>0.29499999999999998</v>
      </c>
      <c r="F15" s="15"/>
      <c r="G15" s="42" t="s">
        <v>172</v>
      </c>
      <c r="H15" s="42" t="s">
        <v>173</v>
      </c>
      <c r="I15" s="43" t="str">
        <f>IF(E15&gt;=0.25,"Verde: aceptable",IF(AND(E15&gt;=0.15,E15&lt;0.25),"Amarillo: alerta","Rojo: revisión"))</f>
        <v>Verde: aceptable</v>
      </c>
      <c r="J15" s="15"/>
    </row>
    <row r="16" spans="1:10" ht="15" customHeight="1" x14ac:dyDescent="0.25">
      <c r="A16" s="15"/>
      <c r="B16" s="16" t="s">
        <v>174</v>
      </c>
      <c r="C16" s="44">
        <f>ER_3Años!C13/ER_3Años!C6</f>
        <v>0.15303030303030302</v>
      </c>
      <c r="D16" s="44">
        <f>ER_3Años!D13/ER_3Años!D6</f>
        <v>0.1357936507936508</v>
      </c>
      <c r="E16" s="44">
        <f>ER_3Años!E13/ER_3Años!E6</f>
        <v>0.11941666666666667</v>
      </c>
      <c r="F16" s="15"/>
      <c r="G16" s="42" t="s">
        <v>175</v>
      </c>
      <c r="H16" s="42" t="s">
        <v>176</v>
      </c>
      <c r="I16" s="43" t="str">
        <f>IF(E16&gt;=0.1,"Verde: aceptable",IF(AND(E16&gt;=0.05,E16&lt;0.1),"Amarillo: alerta","Rojo: revisión"))</f>
        <v>Verde: aceptable</v>
      </c>
      <c r="J16" s="15"/>
    </row>
    <row r="17" spans="1:10" ht="15" customHeight="1" x14ac:dyDescent="0.25">
      <c r="A17" s="15"/>
      <c r="B17" s="16" t="s">
        <v>177</v>
      </c>
      <c r="C17" s="44">
        <f>ER_3Años!C17/ER_3Años!C6</f>
        <v>0.10037878787878787</v>
      </c>
      <c r="D17" s="44">
        <f>ER_3Años!D17/ER_3Años!D6</f>
        <v>8.9206349206349206E-2</v>
      </c>
      <c r="E17" s="44">
        <f>ER_3Años!E17/ER_3Años!E6</f>
        <v>7.8166666666666662E-2</v>
      </c>
      <c r="F17" s="15"/>
      <c r="G17" s="42" t="s">
        <v>178</v>
      </c>
      <c r="H17" s="42" t="s">
        <v>179</v>
      </c>
      <c r="I17" s="43" t="str">
        <f>IF(E17&gt;=0.05,"Verde: aceptable",IF(AND(E17&gt;=0.01,E17&lt;0.05),"Amarillo: alerta","Rojo: revisión"))</f>
        <v>Verde: aceptable</v>
      </c>
      <c r="J17" s="15"/>
    </row>
    <row r="18" spans="1:10" ht="15" customHeight="1" x14ac:dyDescent="0.25">
      <c r="A18" s="15"/>
      <c r="B18" s="16" t="s">
        <v>180</v>
      </c>
      <c r="C18" s="44">
        <f>ER_3Años!C17/BG_3Años!C14</f>
        <v>0.18479776847977686</v>
      </c>
      <c r="D18" s="44">
        <f>ER_3Años!D17/BG_3Años!D14</f>
        <v>0.15611111111111112</v>
      </c>
      <c r="E18" s="44">
        <f>ER_3Años!E17/BG_3Años!E14</f>
        <v>0.13535353535353536</v>
      </c>
      <c r="F18" s="15"/>
      <c r="G18" s="42" t="s">
        <v>181</v>
      </c>
      <c r="H18" s="42" t="s">
        <v>179</v>
      </c>
      <c r="I18" s="43" t="str">
        <f>IF(E18&gt;=0.05,"Verde: aceptable",IF(AND(E18&gt;=0.01,E18&lt;0.05),"Amarillo: alerta","Rojo: revisión"))</f>
        <v>Verde: aceptable</v>
      </c>
      <c r="J18" s="15"/>
    </row>
    <row r="19" spans="1:10" ht="15" customHeight="1" x14ac:dyDescent="0.25">
      <c r="A19" s="15"/>
      <c r="B19" s="16" t="s">
        <v>182</v>
      </c>
      <c r="C19" s="44">
        <f>ER_3Años!C17/BG_3Años!C26</f>
        <v>0.21405492730210016</v>
      </c>
      <c r="D19" s="44">
        <f>ER_3Años!D17/BG_3Años!D26</f>
        <v>0.18306188925081432</v>
      </c>
      <c r="E19" s="44">
        <f>ER_3Años!E17/BG_3Años!E26</f>
        <v>0.17054545454545456</v>
      </c>
      <c r="F19" s="15"/>
      <c r="G19" s="42" t="s">
        <v>183</v>
      </c>
      <c r="H19" s="42" t="s">
        <v>184</v>
      </c>
      <c r="I19" s="43" t="str">
        <f>IF(E19&gt;=0.1,"Verde: aceptable",IF(AND(E19&gt;=0.03,E19&lt;0.1),"Amarillo: alerta","Rojo: revisión"))</f>
        <v>Verde: aceptable</v>
      </c>
      <c r="J19" s="15"/>
    </row>
    <row r="20" spans="1:10" ht="21.75" customHeight="1" x14ac:dyDescent="0.25">
      <c r="A20" s="15"/>
      <c r="B20" s="16" t="s">
        <v>185</v>
      </c>
      <c r="C20" s="41">
        <f>ER_3Años!C6/BG_3Años!C14</f>
        <v>1.8410041841004183</v>
      </c>
      <c r="D20" s="41">
        <f>ER_3Años!D6/BG_3Años!D14</f>
        <v>1.75</v>
      </c>
      <c r="E20" s="41">
        <f>ER_3Años!E6/BG_3Años!E14</f>
        <v>1.7316017316017316</v>
      </c>
      <c r="F20" s="15"/>
      <c r="G20" s="42" t="s">
        <v>186</v>
      </c>
      <c r="H20" s="42" t="s">
        <v>187</v>
      </c>
      <c r="I20" s="43" t="str">
        <f>IF(E20&gt;=1,"Verde: aceptable",IF(AND(E20&gt;=0.6,E20&lt;1),"Amarillo: alerta","Rojo: revisión"))</f>
        <v>Verde: aceptable</v>
      </c>
      <c r="J20" s="15"/>
    </row>
    <row r="21" spans="1:10" ht="15" customHeight="1" x14ac:dyDescent="0.25">
      <c r="A21" s="15"/>
      <c r="B21" s="1" t="s">
        <v>188</v>
      </c>
      <c r="C21" s="1"/>
      <c r="D21" s="1"/>
      <c r="E21" s="1"/>
      <c r="F21" s="15"/>
      <c r="G21" s="15"/>
      <c r="H21" s="15"/>
      <c r="I21" s="15"/>
      <c r="J21" s="15"/>
    </row>
    <row r="22" spans="1:10" ht="15" customHeight="1" x14ac:dyDescent="0.25">
      <c r="A22" s="15"/>
      <c r="B22" s="16" t="s">
        <v>189</v>
      </c>
      <c r="C22" s="41">
        <f>-ER_3Años!C7/(BG_3Años!C9)</f>
        <v>5.984</v>
      </c>
      <c r="D22" s="41">
        <f>-ER_3Años!D7/(AVERAGE(BG_3Años!D9,BG_3Años!C9))</f>
        <v>5.6090322580645164</v>
      </c>
      <c r="E22" s="41">
        <f>-ER_3Años!E7/(AVERAGE(BG_3Años!E9,BG_3Años!D9))</f>
        <v>5.2061538461538461</v>
      </c>
      <c r="F22" s="15"/>
      <c r="G22" s="42" t="s">
        <v>190</v>
      </c>
      <c r="H22" s="42" t="s">
        <v>191</v>
      </c>
      <c r="I22" s="15"/>
      <c r="J22" s="15"/>
    </row>
    <row r="23" spans="1:10" ht="15" customHeight="1" x14ac:dyDescent="0.25">
      <c r="A23" s="15"/>
      <c r="B23" s="16" t="s">
        <v>192</v>
      </c>
      <c r="C23" s="46">
        <f>365/C22</f>
        <v>60.995989304812838</v>
      </c>
      <c r="D23" s="46">
        <f>365/D22</f>
        <v>65.073613986657463</v>
      </c>
      <c r="E23" s="46">
        <f>365/E22</f>
        <v>70.109338061465721</v>
      </c>
      <c r="F23" s="15"/>
      <c r="G23" s="42" t="s">
        <v>193</v>
      </c>
      <c r="H23" s="42" t="s">
        <v>194</v>
      </c>
      <c r="I23" s="43" t="str">
        <f>IF(E23&lt;=90,"Verde: aceptable",IF(AND(E23&gt;90,E23&lt;=120),"Amarillo: alerta","Rojo: revisión"))</f>
        <v>Verde: aceptable</v>
      </c>
      <c r="J23" s="15"/>
    </row>
    <row r="24" spans="1:10" ht="15" customHeight="1" x14ac:dyDescent="0.25">
      <c r="A24" s="15"/>
      <c r="B24" s="16" t="s">
        <v>195</v>
      </c>
      <c r="C24" s="41">
        <f>ER_3Años!C6/(BG_3Años!C8)</f>
        <v>3.4375</v>
      </c>
      <c r="D24" s="41">
        <f>ER_3Años!D6/(AVERAGE(BG_3Años!D8,BG_3Años!C8))</f>
        <v>3.3201581027667983</v>
      </c>
      <c r="E24" s="41">
        <f>ER_3Años!E6/(AVERAGE(BG_3Años!E8,BG_3Años!D8))</f>
        <v>3.2653061224489797</v>
      </c>
      <c r="F24" s="15"/>
      <c r="G24" s="42" t="s">
        <v>196</v>
      </c>
      <c r="H24" s="42" t="s">
        <v>197</v>
      </c>
      <c r="I24" s="15"/>
      <c r="J24" s="15"/>
    </row>
    <row r="25" spans="1:10" ht="15" customHeight="1" x14ac:dyDescent="0.25">
      <c r="A25" s="15"/>
      <c r="B25" s="16" t="s">
        <v>198</v>
      </c>
      <c r="C25" s="46">
        <f>365/C24</f>
        <v>106.18181818181819</v>
      </c>
      <c r="D25" s="46">
        <f>365/D24</f>
        <v>109.93452380952381</v>
      </c>
      <c r="E25" s="46">
        <f>365/E24</f>
        <v>111.78125</v>
      </c>
      <c r="F25" s="15"/>
      <c r="G25" s="42" t="s">
        <v>199</v>
      </c>
      <c r="H25" s="42" t="s">
        <v>200</v>
      </c>
      <c r="I25" s="43" t="str">
        <f>IF(E25&lt;=60,"Verde: aceptable",IF(AND(E25&gt;60,E25&lt;=90),"Amarillo: alerta","Rojo: revisión"))</f>
        <v>Rojo: revisión</v>
      </c>
      <c r="J25" s="15"/>
    </row>
    <row r="26" spans="1:10" ht="15" customHeight="1" x14ac:dyDescent="0.25">
      <c r="A26" s="15"/>
      <c r="B26" s="16" t="s">
        <v>201</v>
      </c>
      <c r="C26" s="41">
        <f>-ER_3Años!C7/(BG_3Años!C17)</f>
        <v>17.952000000000002</v>
      </c>
      <c r="D26" s="41">
        <f>-ER_3Años!D7/(AVERAGE(BG_3Años!D17,BG_3Años!C17))</f>
        <v>17.388000000000002</v>
      </c>
      <c r="E26" s="41">
        <f>-ER_3Años!E7/(AVERAGE(BG_3Años!E17,BG_3Años!D17))</f>
        <v>17.26530612244898</v>
      </c>
      <c r="F26" s="15"/>
      <c r="G26" s="42" t="s">
        <v>202</v>
      </c>
      <c r="H26" s="42" t="s">
        <v>203</v>
      </c>
      <c r="I26" s="15"/>
      <c r="J26" s="15"/>
    </row>
    <row r="27" spans="1:10" ht="21.75" customHeight="1" x14ac:dyDescent="0.25">
      <c r="A27" s="15"/>
      <c r="B27" s="16" t="s">
        <v>204</v>
      </c>
      <c r="C27" s="46">
        <f>365/C26</f>
        <v>20.331996434937608</v>
      </c>
      <c r="D27" s="46">
        <f>365/D26</f>
        <v>20.991488382792728</v>
      </c>
      <c r="E27" s="46">
        <f>365/E26</f>
        <v>21.140661938534279</v>
      </c>
      <c r="F27" s="15"/>
      <c r="G27" s="42" t="s">
        <v>205</v>
      </c>
      <c r="H27" s="42" t="s">
        <v>206</v>
      </c>
      <c r="I27" s="43" t="str">
        <f>IF(AND(E27&gt;=30,E27&lt;=90),"Verde: aceptable",IF(OR(AND(E27&gt;=15,E27&lt;30),AND(E27&gt;90,E27&lt;=120)),"Amarillo: alerta","Rojo: revisión"))</f>
        <v>Amarillo: alerta</v>
      </c>
      <c r="J27" s="15"/>
    </row>
    <row r="28" spans="1:10" ht="15" customHeight="1" x14ac:dyDescent="0.25">
      <c r="A28" s="15"/>
      <c r="B28" s="16" t="s">
        <v>207</v>
      </c>
      <c r="C28" s="47">
        <f>C25+C23-C27</f>
        <v>146.84581105169343</v>
      </c>
      <c r="D28" s="47">
        <f>D25+D23-D27</f>
        <v>154.01664941338854</v>
      </c>
      <c r="E28" s="47">
        <f>E25+E23-E27</f>
        <v>160.74992612293147</v>
      </c>
      <c r="F28" s="15"/>
      <c r="G28" s="42" t="s">
        <v>208</v>
      </c>
      <c r="H28" s="42" t="s">
        <v>194</v>
      </c>
      <c r="I28" s="43" t="str">
        <f>IF(E28&lt;=90,"Verde: aceptable",IF(AND(E28&gt;90,E28&lt;=120),"Amarillo: alerta","Rojo: revisión"))</f>
        <v>Rojo: revisión</v>
      </c>
      <c r="J28" s="15"/>
    </row>
    <row r="29" spans="1:10" ht="15" customHeight="1" x14ac:dyDescent="0.25">
      <c r="A29" s="15"/>
      <c r="B29" s="1" t="s">
        <v>209</v>
      </c>
      <c r="C29" s="1"/>
      <c r="D29" s="1"/>
      <c r="E29" s="1"/>
      <c r="F29" s="15"/>
      <c r="G29" s="15"/>
      <c r="H29" s="15"/>
      <c r="I29" s="15"/>
      <c r="J29" s="15"/>
    </row>
    <row r="30" spans="1:10" ht="15" customHeight="1" x14ac:dyDescent="0.25">
      <c r="A30" s="15"/>
      <c r="B30" s="16" t="s">
        <v>210</v>
      </c>
      <c r="C30" s="41">
        <f>BG_3Años!C14/BG_3Años!C26</f>
        <v>1.1583198707592892</v>
      </c>
      <c r="D30" s="41">
        <f>BG_3Años!D14/BG_3Años!D26</f>
        <v>1.1726384364820848</v>
      </c>
      <c r="E30" s="41">
        <f>BG_3Años!E14/BG_3Años!E26</f>
        <v>1.26</v>
      </c>
      <c r="F30" s="15"/>
      <c r="G30" s="42" t="s">
        <v>211</v>
      </c>
      <c r="H30" s="42" t="s">
        <v>212</v>
      </c>
      <c r="I30" s="15"/>
      <c r="J30" s="15"/>
    </row>
    <row r="31" spans="1:10" ht="23.25" customHeight="1" x14ac:dyDescent="0.25">
      <c r="A31" s="15"/>
      <c r="B31" s="16" t="s">
        <v>213</v>
      </c>
      <c r="C31" s="48">
        <f>C17*C20*C30</f>
        <v>0.21405492730210016</v>
      </c>
      <c r="D31" s="48">
        <f>D17*D20*D30</f>
        <v>0.18306188925081435</v>
      </c>
      <c r="E31" s="48">
        <f>E17*E20*E30</f>
        <v>0.17054545454545453</v>
      </c>
      <c r="F31" s="15"/>
      <c r="G31" s="42" t="s">
        <v>214</v>
      </c>
      <c r="H31" s="42" t="s">
        <v>215</v>
      </c>
      <c r="I31" s="15"/>
      <c r="J31" s="15"/>
    </row>
    <row r="32" spans="1:10" ht="15" customHeight="1" x14ac:dyDescent="0.25">
      <c r="A32" s="15"/>
      <c r="B32" s="15"/>
      <c r="C32" s="15"/>
      <c r="D32" s="15"/>
      <c r="E32" s="15"/>
      <c r="F32" s="15"/>
      <c r="G32" s="15"/>
      <c r="H32" s="15"/>
      <c r="I32" s="15"/>
      <c r="J32" s="15"/>
    </row>
    <row r="33" spans="1:10" ht="15" customHeight="1" x14ac:dyDescent="0.25">
      <c r="A33" s="15"/>
      <c r="B33" s="2" t="s">
        <v>216</v>
      </c>
      <c r="C33" s="2"/>
      <c r="D33" s="2"/>
      <c r="E33" s="2"/>
      <c r="F33" s="2"/>
      <c r="G33" s="2"/>
      <c r="H33" s="2"/>
      <c r="I33" s="2"/>
      <c r="J33" s="15"/>
    </row>
    <row r="34" spans="1:10" ht="15" customHeight="1" x14ac:dyDescent="0.25">
      <c r="A34" s="15"/>
      <c r="B34" s="2"/>
      <c r="C34" s="2"/>
      <c r="D34" s="2"/>
      <c r="E34" s="2"/>
      <c r="F34" s="2"/>
      <c r="G34" s="2"/>
      <c r="H34" s="2"/>
      <c r="I34" s="2"/>
      <c r="J34" s="15"/>
    </row>
    <row r="35" spans="1:10" ht="15" customHeight="1" x14ac:dyDescent="0.25">
      <c r="A35" s="15"/>
      <c r="B35" s="2"/>
      <c r="C35" s="2"/>
      <c r="D35" s="2"/>
      <c r="E35" s="2"/>
      <c r="F35" s="2"/>
      <c r="G35" s="2"/>
      <c r="H35" s="2"/>
      <c r="I35" s="2"/>
      <c r="J35" s="15"/>
    </row>
    <row r="36" spans="1:10" ht="15" customHeight="1" x14ac:dyDescent="0.25">
      <c r="A36" s="15"/>
      <c r="B36" s="2"/>
      <c r="C36" s="2"/>
      <c r="D36" s="2"/>
      <c r="E36" s="2"/>
      <c r="F36" s="2"/>
      <c r="G36" s="2"/>
      <c r="H36" s="2"/>
      <c r="I36" s="2"/>
      <c r="J36" s="15"/>
    </row>
  </sheetData>
  <mergeCells count="8">
    <mergeCell ref="B21:E21"/>
    <mergeCell ref="B29:E29"/>
    <mergeCell ref="B33:I36"/>
    <mergeCell ref="B2:J2"/>
    <mergeCell ref="B3:J3"/>
    <mergeCell ref="B6:E6"/>
    <mergeCell ref="B10:E10"/>
    <mergeCell ref="B14:E14"/>
  </mergeCells>
  <conditionalFormatting sqref="C7:E7">
    <cfRule type="expression" dxfId="68" priority="2">
      <formula>C7&gt;=1.5</formula>
    </cfRule>
    <cfRule type="expression" dxfId="67" priority="3">
      <formula>AND(C7&gt;=1,C7&lt;1.5)</formula>
    </cfRule>
    <cfRule type="expression" dxfId="66" priority="4">
      <formula>C7&lt;1</formula>
    </cfRule>
  </conditionalFormatting>
  <conditionalFormatting sqref="C8:E8">
    <cfRule type="expression" dxfId="65" priority="5">
      <formula>C8&gt;=1</formula>
    </cfRule>
    <cfRule type="expression" dxfId="64" priority="6">
      <formula>AND(C8&gt;=0.75,C8&lt;1)</formula>
    </cfRule>
    <cfRule type="expression" dxfId="63" priority="7">
      <formula>C8&lt;0.75</formula>
    </cfRule>
  </conditionalFormatting>
  <conditionalFormatting sqref="C9:E9">
    <cfRule type="expression" dxfId="62" priority="8">
      <formula>C9&gt;=0.2</formula>
    </cfRule>
    <cfRule type="expression" dxfId="61" priority="9">
      <formula>AND(C9&gt;=0.05,C9&lt;0.2)</formula>
    </cfRule>
    <cfRule type="expression" dxfId="60" priority="10">
      <formula>C9&lt;0.05</formula>
    </cfRule>
  </conditionalFormatting>
  <conditionalFormatting sqref="C11:E11">
    <cfRule type="expression" dxfId="59" priority="11">
      <formula>C11&lt;=1.5</formula>
    </cfRule>
    <cfRule type="expression" dxfId="58" priority="12">
      <formula>AND(C11&gt;1.5,C11&lt;=2.5)</formula>
    </cfRule>
    <cfRule type="expression" dxfId="57" priority="13">
      <formula>C11&gt;2.5</formula>
    </cfRule>
  </conditionalFormatting>
  <conditionalFormatting sqref="C12:E12">
    <cfRule type="expression" dxfId="56" priority="14">
      <formula>C12&lt;=0.6</formula>
    </cfRule>
    <cfRule type="expression" dxfId="55" priority="15">
      <formula>AND(C12&gt;0.6,C12&lt;=0.75)</formula>
    </cfRule>
    <cfRule type="expression" dxfId="54" priority="16">
      <formula>C12&gt;0.75</formula>
    </cfRule>
  </conditionalFormatting>
  <conditionalFormatting sqref="C13:E13">
    <cfRule type="expression" dxfId="53" priority="17">
      <formula>AND(ISNUMBER(C13),C13&lt;=3)</formula>
    </cfRule>
    <cfRule type="expression" dxfId="52" priority="18">
      <formula>AND(ISNUMBER(C13),C13&gt;3,C13&lt;=4)</formula>
    </cfRule>
    <cfRule type="expression" dxfId="51" priority="19">
      <formula>OR(ISTEXT(C13),AND(ISNUMBER(C13),C13&gt;4))</formula>
    </cfRule>
  </conditionalFormatting>
  <conditionalFormatting sqref="C15:E15">
    <cfRule type="expression" dxfId="50" priority="20">
      <formula>C15&gt;=0.25</formula>
    </cfRule>
    <cfRule type="expression" dxfId="49" priority="21">
      <formula>AND(C15&gt;=0.15,C15&lt;0.25)</formula>
    </cfRule>
    <cfRule type="expression" dxfId="48" priority="22">
      <formula>C15&lt;0.15</formula>
    </cfRule>
  </conditionalFormatting>
  <conditionalFormatting sqref="C16:E16">
    <cfRule type="expression" dxfId="47" priority="23">
      <formula>C16&gt;=0.1</formula>
    </cfRule>
    <cfRule type="expression" dxfId="46" priority="24">
      <formula>AND(C16&gt;=0.05,C16&lt;0.1)</formula>
    </cfRule>
    <cfRule type="expression" dxfId="45" priority="25">
      <formula>C16&lt;0.05</formula>
    </cfRule>
  </conditionalFormatting>
  <conditionalFormatting sqref="C17:E18">
    <cfRule type="expression" dxfId="44" priority="26">
      <formula>C17&gt;=0.05</formula>
    </cfRule>
    <cfRule type="expression" dxfId="43" priority="27">
      <formula>AND(C17&gt;=0.01,C17&lt;0.05)</formula>
    </cfRule>
    <cfRule type="expression" dxfId="42" priority="28">
      <formula>C17&lt;0.01</formula>
    </cfRule>
  </conditionalFormatting>
  <conditionalFormatting sqref="C19:E19">
    <cfRule type="expression" dxfId="41" priority="32">
      <formula>C19&gt;=0.1</formula>
    </cfRule>
    <cfRule type="expression" dxfId="40" priority="33">
      <formula>AND(C19&gt;=0.03,C19&lt;0.1)</formula>
    </cfRule>
    <cfRule type="expression" dxfId="39" priority="34">
      <formula>C19&lt;0.03</formula>
    </cfRule>
  </conditionalFormatting>
  <conditionalFormatting sqref="C20:E20">
    <cfRule type="expression" dxfId="38" priority="35">
      <formula>C20&gt;=1</formula>
    </cfRule>
    <cfRule type="expression" dxfId="37" priority="36">
      <formula>AND(C20&gt;=0.6,C20&lt;1)</formula>
    </cfRule>
    <cfRule type="expression" dxfId="36" priority="37">
      <formula>C20&lt;0.6</formula>
    </cfRule>
  </conditionalFormatting>
  <conditionalFormatting sqref="C23:E23">
    <cfRule type="expression" dxfId="35" priority="38">
      <formula>C23&lt;=90</formula>
    </cfRule>
    <cfRule type="expression" dxfId="34" priority="39">
      <formula>AND(C23&gt;90,C23&lt;=120)</formula>
    </cfRule>
    <cfRule type="expression" dxfId="33" priority="40">
      <formula>C23&gt;120</formula>
    </cfRule>
  </conditionalFormatting>
  <conditionalFormatting sqref="C25:E25">
    <cfRule type="expression" dxfId="32" priority="41">
      <formula>C25&lt;=60</formula>
    </cfRule>
    <cfRule type="expression" dxfId="31" priority="42">
      <formula>AND(C25&gt;60,C25&lt;=90)</formula>
    </cfRule>
    <cfRule type="expression" dxfId="30" priority="43">
      <formula>C25&gt;90</formula>
    </cfRule>
  </conditionalFormatting>
  <conditionalFormatting sqref="C27:E27">
    <cfRule type="expression" dxfId="29" priority="44">
      <formula>AND(C27&gt;=30,C27&lt;=90)</formula>
    </cfRule>
    <cfRule type="expression" dxfId="28" priority="45">
      <formula>OR(AND(C27&gt;=15,C27&lt;30),AND(C27&gt;90,C27&lt;=120))</formula>
    </cfRule>
    <cfRule type="expression" dxfId="27" priority="46">
      <formula>OR(C27&lt;15,C27&gt;120)</formula>
    </cfRule>
  </conditionalFormatting>
  <conditionalFormatting sqref="C28:E28">
    <cfRule type="expression" dxfId="26" priority="47">
      <formula>C28&lt;=90</formula>
    </cfRule>
    <cfRule type="expression" dxfId="25" priority="48">
      <formula>AND(C28&gt;90,C28&lt;=120)</formula>
    </cfRule>
    <cfRule type="expression" dxfId="24" priority="49">
      <formula>C28&gt;120</formula>
    </cfRule>
  </conditionalFormatting>
  <conditionalFormatting sqref="I7:I9">
    <cfRule type="expression" dxfId="23" priority="50">
      <formula>ISNUMBER(SEARCH("Verde",I7))</formula>
    </cfRule>
    <cfRule type="expression" dxfId="22" priority="51">
      <formula>ISNUMBER(SEARCH("Amarillo",I7))</formula>
    </cfRule>
    <cfRule type="expression" dxfId="21" priority="52">
      <formula>ISNUMBER(SEARCH("Rojo",I7))</formula>
    </cfRule>
  </conditionalFormatting>
  <conditionalFormatting sqref="I11:I13">
    <cfRule type="expression" dxfId="20" priority="59">
      <formula>ISNUMBER(SEARCH("Verde",I11))</formula>
    </cfRule>
    <cfRule type="expression" dxfId="19" priority="60">
      <formula>ISNUMBER(SEARCH("Amarillo",I11))</formula>
    </cfRule>
    <cfRule type="expression" dxfId="18" priority="61">
      <formula>ISNUMBER(SEARCH("Rojo",I11))</formula>
    </cfRule>
  </conditionalFormatting>
  <conditionalFormatting sqref="I15:I20">
    <cfRule type="expression" dxfId="17" priority="68">
      <formula>ISNUMBER(SEARCH("Verde",I15))</formula>
    </cfRule>
    <cfRule type="expression" dxfId="16" priority="69">
      <formula>ISNUMBER(SEARCH("Amarillo",I15))</formula>
    </cfRule>
    <cfRule type="expression" dxfId="15" priority="70">
      <formula>ISNUMBER(SEARCH("Rojo",I15))</formula>
    </cfRule>
  </conditionalFormatting>
  <conditionalFormatting sqref="I23">
    <cfRule type="expression" dxfId="14" priority="86">
      <formula>ISNUMBER(SEARCH("Verde",I23))</formula>
    </cfRule>
    <cfRule type="expression" dxfId="13" priority="87">
      <formula>ISNUMBER(SEARCH("Amarillo",I23))</formula>
    </cfRule>
    <cfRule type="expression" dxfId="12" priority="88">
      <formula>ISNUMBER(SEARCH("Rojo",I23))</formula>
    </cfRule>
  </conditionalFormatting>
  <conditionalFormatting sqref="I25">
    <cfRule type="expression" dxfId="11" priority="91">
      <formula>ISNUMBER(SEARCH("Rojo",I25))</formula>
    </cfRule>
    <cfRule type="expression" dxfId="10" priority="89">
      <formula>ISNUMBER(SEARCH("Verde",I25))</formula>
    </cfRule>
    <cfRule type="expression" dxfId="9" priority="90">
      <formula>ISNUMBER(SEARCH("Amarillo",I25))</formula>
    </cfRule>
  </conditionalFormatting>
  <conditionalFormatting sqref="I27:I28">
    <cfRule type="expression" dxfId="8" priority="92">
      <formula>ISNUMBER(SEARCH("Verde",I27))</formula>
    </cfRule>
    <cfRule type="expression" dxfId="7" priority="93">
      <formula>ISNUMBER(SEARCH("Amarillo",I27))</formula>
    </cfRule>
    <cfRule type="expression" dxfId="6" priority="94">
      <formula>ISNUMBER(SEARCH("Rojo",I27))</formula>
    </cfRule>
  </conditionalFormatting>
  <pageMargins left="0.3" right="0.3" top="0.4" bottom="0.4" header="0.511811023622047" footer="0.511811023622047"/>
  <pageSetup paperSize="9" fitToHeight="0" orientation="landscape"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0808D"/>
    <pageSetUpPr fitToPage="1"/>
  </sheetPr>
  <dimension ref="A1:W91"/>
  <sheetViews>
    <sheetView showGridLines="0" zoomScaleNormal="100" workbookViewId="0">
      <pane xSplit="2" ySplit="9" topLeftCell="C10" activePane="bottomRight" state="frozen"/>
      <selection pane="topRight" activeCell="C1" sqref="C1"/>
      <selection pane="bottomLeft" activeCell="A10" sqref="A10"/>
      <selection pane="bottomRight"/>
    </sheetView>
  </sheetViews>
  <sheetFormatPr baseColWidth="10" defaultColWidth="8.7109375" defaultRowHeight="15" x14ac:dyDescent="0.25"/>
  <cols>
    <col min="1" max="1" width="3" customWidth="1"/>
    <col min="2" max="2" width="46" customWidth="1"/>
    <col min="3" max="5" width="15" customWidth="1"/>
    <col min="6" max="6" width="13" customWidth="1"/>
    <col min="8" max="23" width="2.5703125" customWidth="1"/>
  </cols>
  <sheetData>
    <row r="1" spans="1:7" ht="7.5" customHeight="1" x14ac:dyDescent="0.25">
      <c r="A1" s="15"/>
      <c r="B1" s="15"/>
      <c r="C1" s="15"/>
      <c r="D1" s="15"/>
      <c r="E1" s="15"/>
      <c r="F1" s="15"/>
      <c r="G1" s="15"/>
    </row>
    <row r="2" spans="1:7" ht="27.75" customHeight="1" x14ac:dyDescent="0.25">
      <c r="A2" s="15"/>
      <c r="B2" s="14" t="s">
        <v>217</v>
      </c>
      <c r="C2" s="14"/>
      <c r="D2" s="14"/>
      <c r="E2" s="14"/>
      <c r="F2" s="14"/>
      <c r="G2" s="14"/>
    </row>
    <row r="3" spans="1:7" ht="18" customHeight="1" x14ac:dyDescent="0.25">
      <c r="A3" s="15"/>
      <c r="B3" s="13" t="s">
        <v>218</v>
      </c>
      <c r="C3" s="13"/>
      <c r="D3" s="13"/>
      <c r="E3" s="13"/>
      <c r="F3" s="13"/>
      <c r="G3" s="13"/>
    </row>
    <row r="4" spans="1:7" ht="15" customHeight="1" x14ac:dyDescent="0.25">
      <c r="A4" s="15"/>
      <c r="B4" s="15"/>
      <c r="C4" s="15"/>
      <c r="D4" s="15"/>
      <c r="E4" s="15"/>
      <c r="F4" s="15"/>
      <c r="G4" s="15"/>
    </row>
    <row r="5" spans="1:7" ht="19.5" customHeight="1" x14ac:dyDescent="0.25">
      <c r="A5" s="15"/>
      <c r="B5" s="18" t="s">
        <v>219</v>
      </c>
      <c r="C5" s="18">
        <v>2023</v>
      </c>
      <c r="D5" s="18">
        <v>2024</v>
      </c>
      <c r="E5" s="18">
        <v>2025</v>
      </c>
      <c r="F5" s="15"/>
      <c r="G5" s="15"/>
    </row>
    <row r="6" spans="1:7" ht="15" customHeight="1" x14ac:dyDescent="0.25">
      <c r="A6" s="15"/>
      <c r="B6" s="20" t="s">
        <v>220</v>
      </c>
      <c r="C6" s="15"/>
      <c r="D6" s="15"/>
      <c r="E6" s="15"/>
      <c r="F6" s="15"/>
      <c r="G6" s="15"/>
    </row>
    <row r="7" spans="1:7" ht="15" customHeight="1" x14ac:dyDescent="0.25">
      <c r="A7" s="15"/>
      <c r="B7" s="16" t="s">
        <v>221</v>
      </c>
      <c r="C7" s="19">
        <f>BG_3Años!C26</f>
        <v>6190</v>
      </c>
      <c r="D7" s="19">
        <f>BG_3Años!D26</f>
        <v>6140</v>
      </c>
      <c r="E7" s="19">
        <f>BG_3Años!E26</f>
        <v>5500</v>
      </c>
      <c r="F7" s="15"/>
      <c r="G7" s="15"/>
    </row>
    <row r="8" spans="1:7" ht="15" customHeight="1" x14ac:dyDescent="0.25">
      <c r="A8" s="15"/>
      <c r="B8" s="16" t="s">
        <v>222</v>
      </c>
      <c r="C8" s="19">
        <f>C7-2000</f>
        <v>4190</v>
      </c>
      <c r="D8" s="19">
        <f>D7-2000</f>
        <v>4140</v>
      </c>
      <c r="E8" s="19">
        <f>E7-2000</f>
        <v>3500</v>
      </c>
      <c r="F8" s="15"/>
      <c r="G8" s="15"/>
    </row>
    <row r="9" spans="1:7" ht="15" customHeight="1" x14ac:dyDescent="0.25">
      <c r="A9" s="15"/>
      <c r="B9" s="15"/>
      <c r="C9" s="15"/>
      <c r="D9" s="15"/>
      <c r="E9" s="15"/>
      <c r="F9" s="15"/>
      <c r="G9" s="15"/>
    </row>
    <row r="10" spans="1:7" ht="15" customHeight="1" x14ac:dyDescent="0.25">
      <c r="A10" s="15"/>
      <c r="B10" s="20" t="s">
        <v>223</v>
      </c>
      <c r="C10" s="15"/>
      <c r="D10" s="15"/>
      <c r="E10" s="15"/>
      <c r="F10" s="15"/>
      <c r="G10" s="15"/>
    </row>
    <row r="11" spans="1:7" ht="15" customHeight="1" x14ac:dyDescent="0.25">
      <c r="A11" s="15"/>
      <c r="B11" s="16" t="s">
        <v>224</v>
      </c>
      <c r="C11" s="27">
        <f>BG_3Años!C11</f>
        <v>6710</v>
      </c>
      <c r="D11" s="27">
        <f>BG_3Años!D11</f>
        <v>6760</v>
      </c>
      <c r="E11" s="27">
        <f>BG_3Años!E11</f>
        <v>6500</v>
      </c>
      <c r="F11" s="15"/>
      <c r="G11" s="15"/>
    </row>
    <row r="12" spans="1:7" ht="15" customHeight="1" x14ac:dyDescent="0.25">
      <c r="A12" s="15"/>
      <c r="B12" s="16" t="s">
        <v>225</v>
      </c>
      <c r="C12" s="27">
        <f>BG_3Años!C20</f>
        <v>980</v>
      </c>
      <c r="D12" s="27">
        <f>BG_3Años!D20</f>
        <v>1060</v>
      </c>
      <c r="E12" s="27">
        <f>BG_3Años!E20</f>
        <v>1430</v>
      </c>
      <c r="F12" s="15"/>
      <c r="G12" s="15"/>
    </row>
    <row r="13" spans="1:7" ht="15" customHeight="1" x14ac:dyDescent="0.25">
      <c r="A13" s="15"/>
      <c r="B13" s="16" t="s">
        <v>226</v>
      </c>
      <c r="C13" s="33">
        <f>C11-C12</f>
        <v>5730</v>
      </c>
      <c r="D13" s="33">
        <f>D11-D12</f>
        <v>5700</v>
      </c>
      <c r="E13" s="33">
        <f>E11-E12</f>
        <v>5070</v>
      </c>
      <c r="F13" s="15"/>
      <c r="G13" s="15"/>
    </row>
    <row r="14" spans="1:7" ht="15" customHeight="1" x14ac:dyDescent="0.25">
      <c r="A14" s="15"/>
      <c r="B14" s="16" t="s">
        <v>227</v>
      </c>
      <c r="C14" s="27">
        <f>BG_3Años!C14</f>
        <v>7170</v>
      </c>
      <c r="D14" s="27">
        <f>BG_3Años!D14</f>
        <v>7200</v>
      </c>
      <c r="E14" s="27">
        <f>BG_3Años!E14</f>
        <v>6930</v>
      </c>
      <c r="F14" s="15"/>
      <c r="G14" s="15"/>
    </row>
    <row r="15" spans="1:7" ht="15" customHeight="1" x14ac:dyDescent="0.25">
      <c r="A15" s="15"/>
      <c r="B15" s="16" t="s">
        <v>228</v>
      </c>
      <c r="C15" s="27">
        <f>ER_3Años!C13</f>
        <v>2020</v>
      </c>
      <c r="D15" s="27">
        <f>ER_3Años!D13</f>
        <v>1711</v>
      </c>
      <c r="E15" s="27">
        <f>ER_3Años!E13</f>
        <v>1433</v>
      </c>
      <c r="F15" s="15"/>
      <c r="G15" s="15"/>
    </row>
    <row r="16" spans="1:7" ht="15" customHeight="1" x14ac:dyDescent="0.25">
      <c r="A16" s="15"/>
      <c r="B16" s="16" t="s">
        <v>229</v>
      </c>
      <c r="C16" s="27">
        <f>ER_3Años!C6</f>
        <v>13200</v>
      </c>
      <c r="D16" s="27">
        <f>ER_3Años!D6</f>
        <v>12600</v>
      </c>
      <c r="E16" s="27">
        <f>ER_3Años!E6</f>
        <v>12000</v>
      </c>
      <c r="F16" s="15"/>
      <c r="G16" s="15"/>
    </row>
    <row r="17" spans="1:7" ht="15" customHeight="1" x14ac:dyDescent="0.25">
      <c r="A17" s="15"/>
      <c r="B17" s="16" t="s">
        <v>230</v>
      </c>
      <c r="C17" s="27">
        <f>BG_3Años!C23</f>
        <v>980</v>
      </c>
      <c r="D17" s="27">
        <f>BG_3Años!D23</f>
        <v>1060</v>
      </c>
      <c r="E17" s="27">
        <f>BG_3Años!E23</f>
        <v>1430</v>
      </c>
      <c r="F17" s="15"/>
      <c r="G17" s="15"/>
    </row>
    <row r="18" spans="1:7" ht="15" customHeight="1" x14ac:dyDescent="0.25">
      <c r="A18" s="15"/>
      <c r="B18" s="15"/>
      <c r="C18" s="15"/>
      <c r="D18" s="15"/>
      <c r="E18" s="15"/>
      <c r="F18" s="15"/>
      <c r="G18" s="15"/>
    </row>
    <row r="19" spans="1:7" ht="15" customHeight="1" x14ac:dyDescent="0.25">
      <c r="A19" s="15"/>
      <c r="B19" s="20" t="s">
        <v>231</v>
      </c>
      <c r="C19" s="15"/>
      <c r="D19" s="15"/>
      <c r="E19" s="15"/>
      <c r="F19" s="15"/>
      <c r="G19" s="15"/>
    </row>
    <row r="20" spans="1:7" ht="15" customHeight="1" x14ac:dyDescent="0.25">
      <c r="A20" s="15"/>
      <c r="B20" s="16" t="s">
        <v>232</v>
      </c>
      <c r="C20" s="49">
        <f>C13/C14</f>
        <v>0.79916317991631802</v>
      </c>
      <c r="D20" s="49">
        <f>D13/D14</f>
        <v>0.79166666666666663</v>
      </c>
      <c r="E20" s="49">
        <f>E13/E14</f>
        <v>0.73160173160173159</v>
      </c>
      <c r="F20" s="15"/>
      <c r="G20" s="15"/>
    </row>
    <row r="21" spans="1:7" ht="15" customHeight="1" x14ac:dyDescent="0.25">
      <c r="A21" s="15"/>
      <c r="B21" s="16" t="s">
        <v>233</v>
      </c>
      <c r="C21" s="49">
        <f>C8/C14</f>
        <v>0.58437935843793587</v>
      </c>
      <c r="D21" s="49">
        <f>D8/D14</f>
        <v>0.57499999999999996</v>
      </c>
      <c r="E21" s="49">
        <f>E8/E14</f>
        <v>0.50505050505050508</v>
      </c>
      <c r="F21" s="15"/>
      <c r="G21" s="15"/>
    </row>
    <row r="22" spans="1:7" ht="15" customHeight="1" x14ac:dyDescent="0.25">
      <c r="A22" s="15"/>
      <c r="B22" s="16" t="s">
        <v>234</v>
      </c>
      <c r="C22" s="49">
        <f>C15/C14</f>
        <v>0.28172942817294283</v>
      </c>
      <c r="D22" s="49">
        <f>D15/D14</f>
        <v>0.2376388888888889</v>
      </c>
      <c r="E22" s="49">
        <f>E15/E14</f>
        <v>0.20678210678210679</v>
      </c>
      <c r="F22" s="15"/>
      <c r="G22" s="15"/>
    </row>
    <row r="23" spans="1:7" ht="15" customHeight="1" x14ac:dyDescent="0.25">
      <c r="A23" s="15"/>
      <c r="B23" s="16" t="s">
        <v>235</v>
      </c>
      <c r="C23" s="49">
        <f>C7/C17</f>
        <v>6.3163265306122449</v>
      </c>
      <c r="D23" s="49">
        <f>D7/D17</f>
        <v>5.7924528301886795</v>
      </c>
      <c r="E23" s="49">
        <f>E7/E17</f>
        <v>3.8461538461538463</v>
      </c>
      <c r="F23" s="15"/>
      <c r="G23" s="15"/>
    </row>
    <row r="24" spans="1:7" ht="15" customHeight="1" x14ac:dyDescent="0.25">
      <c r="A24" s="15"/>
      <c r="B24" s="16" t="s">
        <v>236</v>
      </c>
      <c r="C24" s="49">
        <f>C16/C14</f>
        <v>1.8410041841004183</v>
      </c>
      <c r="D24" s="49">
        <f>D16/D14</f>
        <v>1.75</v>
      </c>
      <c r="E24" s="49">
        <f>E16/E14</f>
        <v>1.7316017316017316</v>
      </c>
      <c r="F24" s="15"/>
      <c r="G24" s="15"/>
    </row>
    <row r="25" spans="1:7" ht="15" customHeight="1" x14ac:dyDescent="0.25">
      <c r="A25" s="15"/>
      <c r="B25" s="15"/>
      <c r="C25" s="15"/>
      <c r="D25" s="15"/>
      <c r="E25" s="15"/>
      <c r="F25" s="15"/>
      <c r="G25" s="15"/>
    </row>
    <row r="26" spans="1:7" ht="15" customHeight="1" x14ac:dyDescent="0.25">
      <c r="A26" s="15"/>
      <c r="B26" s="20" t="s">
        <v>237</v>
      </c>
      <c r="C26" s="50">
        <f>1.2*C20+1.4*C21+3.3*C22+0.6*C23+1*C24</f>
        <v>8.3376341331511679</v>
      </c>
      <c r="D26" s="50">
        <f>1.2*D20+1.4*D21+3.3*D22+0.6*D23+1*D24</f>
        <v>7.7646800314465407</v>
      </c>
      <c r="E26" s="50">
        <f>1.2*E20+1.4*E21+3.3*E22+0.6*E23+1*E24</f>
        <v>6.3066677766677763</v>
      </c>
      <c r="F26" s="15"/>
      <c r="G26" s="15"/>
    </row>
    <row r="27" spans="1:7" ht="15" customHeight="1" x14ac:dyDescent="0.25">
      <c r="A27" s="15"/>
      <c r="B27" s="20" t="s">
        <v>238</v>
      </c>
      <c r="C27" s="24" t="str">
        <f>IF(C26&gt;2.99,"Zona segura",IF(C26&gt;=1.81,"Zona gris","Zona de angustia"))</f>
        <v>Zona segura</v>
      </c>
      <c r="D27" s="24" t="str">
        <f>IF(D26&gt;2.99,"Zona segura",IF(D26&gt;=1.81,"Zona gris","Zona de angustia"))</f>
        <v>Zona segura</v>
      </c>
      <c r="E27" s="24" t="str">
        <f>IF(E26&gt;2.99,"Zona segura",IF(E26&gt;=1.81,"Zona gris","Zona de angustia"))</f>
        <v>Zona segura</v>
      </c>
      <c r="F27" s="15"/>
      <c r="G27" s="15"/>
    </row>
    <row r="28" spans="1:7" ht="15" customHeight="1" x14ac:dyDescent="0.25">
      <c r="A28" s="15"/>
      <c r="B28" s="15"/>
      <c r="C28" s="15"/>
      <c r="D28" s="15"/>
      <c r="E28" s="15"/>
      <c r="F28" s="15"/>
      <c r="G28" s="15"/>
    </row>
    <row r="29" spans="1:7" ht="15" customHeight="1" x14ac:dyDescent="0.25">
      <c r="A29" s="15"/>
      <c r="B29" s="2" t="s">
        <v>239</v>
      </c>
      <c r="C29" s="2"/>
      <c r="D29" s="2"/>
      <c r="E29" s="2"/>
      <c r="F29" s="15"/>
      <c r="G29" s="15"/>
    </row>
    <row r="30" spans="1:7" ht="15" customHeight="1" x14ac:dyDescent="0.25">
      <c r="A30" s="15"/>
      <c r="B30" s="2"/>
      <c r="C30" s="2"/>
      <c r="D30" s="2"/>
      <c r="E30" s="2"/>
      <c r="F30" s="15"/>
      <c r="G30" s="15"/>
    </row>
    <row r="31" spans="1:7" ht="15" customHeight="1" x14ac:dyDescent="0.25">
      <c r="A31" s="15"/>
      <c r="B31" s="2"/>
      <c r="C31" s="2"/>
      <c r="D31" s="2"/>
      <c r="E31" s="2"/>
      <c r="F31" s="15"/>
      <c r="G31" s="15"/>
    </row>
    <row r="32" spans="1:7" ht="15" customHeight="1" x14ac:dyDescent="0.25">
      <c r="A32" s="15"/>
      <c r="B32" s="2"/>
      <c r="C32" s="2"/>
      <c r="D32" s="2"/>
      <c r="E32" s="2"/>
      <c r="F32" s="15"/>
      <c r="G32" s="15"/>
    </row>
    <row r="33" spans="1:7" ht="15" customHeight="1" x14ac:dyDescent="0.25">
      <c r="A33" s="15"/>
      <c r="B33" s="2"/>
      <c r="C33" s="2"/>
      <c r="D33" s="2"/>
      <c r="E33" s="2"/>
      <c r="F33" s="15"/>
      <c r="G33" s="15"/>
    </row>
    <row r="34" spans="1:7" ht="15" customHeight="1" x14ac:dyDescent="0.25">
      <c r="A34" s="15"/>
      <c r="B34" s="15"/>
      <c r="C34" s="15"/>
      <c r="D34" s="15"/>
      <c r="E34" s="15"/>
      <c r="F34" s="15"/>
      <c r="G34" s="15"/>
    </row>
    <row r="35" spans="1:7" ht="15" customHeight="1" x14ac:dyDescent="0.25">
      <c r="A35" s="15"/>
      <c r="B35" s="51" t="s">
        <v>240</v>
      </c>
      <c r="C35" s="15"/>
      <c r="D35" s="15"/>
      <c r="E35" s="15"/>
      <c r="F35" s="15"/>
      <c r="G35" s="15"/>
    </row>
    <row r="36" spans="1:7" ht="15" customHeight="1" x14ac:dyDescent="0.25">
      <c r="A36" s="15"/>
      <c r="B36" s="15" t="s">
        <v>241</v>
      </c>
      <c r="C36" s="52">
        <v>2.99</v>
      </c>
      <c r="D36" s="52">
        <v>2.99</v>
      </c>
      <c r="E36" s="52">
        <v>2.99</v>
      </c>
      <c r="F36" s="15"/>
      <c r="G36" s="15"/>
    </row>
    <row r="37" spans="1:7" ht="15" customHeight="1" x14ac:dyDescent="0.25">
      <c r="A37" s="15"/>
      <c r="B37" s="15" t="s">
        <v>242</v>
      </c>
      <c r="C37" s="52">
        <v>1.81</v>
      </c>
      <c r="D37" s="52">
        <v>1.81</v>
      </c>
      <c r="E37" s="52">
        <v>1.81</v>
      </c>
      <c r="F37" s="15"/>
      <c r="G37" s="15"/>
    </row>
    <row r="38" spans="1:7" ht="15" customHeight="1" x14ac:dyDescent="0.25">
      <c r="A38" s="15"/>
      <c r="B38" s="15"/>
      <c r="C38" s="15"/>
      <c r="D38" s="15"/>
      <c r="E38" s="15"/>
      <c r="F38" s="15"/>
      <c r="G38" s="15"/>
    </row>
    <row r="39" spans="1:7" ht="15" customHeight="1" x14ac:dyDescent="0.25">
      <c r="A39" s="15"/>
      <c r="B39" s="15"/>
      <c r="C39" s="15"/>
      <c r="D39" s="15"/>
      <c r="E39" s="15"/>
      <c r="F39" s="15"/>
      <c r="G39" s="15"/>
    </row>
    <row r="40" spans="1:7" ht="15" customHeight="1" x14ac:dyDescent="0.25">
      <c r="A40" s="15"/>
      <c r="B40" s="15"/>
      <c r="C40" s="15"/>
      <c r="D40" s="15"/>
      <c r="E40" s="15"/>
      <c r="F40" s="15"/>
      <c r="G40" s="15"/>
    </row>
    <row r="41" spans="1:7" ht="15" customHeight="1" x14ac:dyDescent="0.25">
      <c r="A41" s="15"/>
      <c r="B41" s="15"/>
      <c r="C41" s="15"/>
      <c r="D41" s="15"/>
      <c r="E41" s="15"/>
      <c r="F41" s="15"/>
      <c r="G41" s="15"/>
    </row>
    <row r="42" spans="1:7" ht="15" customHeight="1" x14ac:dyDescent="0.25">
      <c r="A42" s="15"/>
      <c r="B42" s="15"/>
      <c r="C42" s="15"/>
      <c r="D42" s="15"/>
      <c r="E42" s="15"/>
      <c r="F42" s="15"/>
      <c r="G42" s="15"/>
    </row>
    <row r="43" spans="1:7" ht="15" customHeight="1" x14ac:dyDescent="0.25">
      <c r="A43" s="15"/>
      <c r="B43" s="15"/>
      <c r="C43" s="15"/>
      <c r="D43" s="15"/>
      <c r="E43" s="15"/>
      <c r="F43" s="15"/>
      <c r="G43" s="15"/>
    </row>
    <row r="44" spans="1:7" ht="15" customHeight="1" x14ac:dyDescent="0.25">
      <c r="A44" s="15"/>
      <c r="B44" s="15"/>
      <c r="C44" s="15"/>
      <c r="D44" s="15"/>
      <c r="E44" s="15"/>
      <c r="F44" s="15"/>
      <c r="G44" s="15"/>
    </row>
    <row r="45" spans="1:7" ht="15" customHeight="1" x14ac:dyDescent="0.25">
      <c r="A45" s="15"/>
      <c r="B45" s="15"/>
      <c r="C45" s="15"/>
      <c r="D45" s="15"/>
      <c r="E45" s="15"/>
      <c r="F45" s="15"/>
      <c r="G45" s="15"/>
    </row>
    <row r="46" spans="1:7" ht="15" customHeight="1" x14ac:dyDescent="0.25">
      <c r="A46" s="15"/>
      <c r="B46" s="15"/>
      <c r="C46" s="15"/>
      <c r="D46" s="15"/>
      <c r="E46" s="15"/>
      <c r="F46" s="15"/>
      <c r="G46" s="15"/>
    </row>
    <row r="47" spans="1:7" ht="15" customHeight="1" x14ac:dyDescent="0.25">
      <c r="A47" s="15"/>
      <c r="B47" s="15"/>
      <c r="C47" s="15"/>
      <c r="D47" s="15"/>
      <c r="E47" s="15"/>
      <c r="F47" s="15"/>
      <c r="G47" s="15"/>
    </row>
    <row r="48" spans="1:7" ht="15" customHeight="1" x14ac:dyDescent="0.25">
      <c r="A48" s="15"/>
      <c r="B48" s="15"/>
      <c r="C48" s="15"/>
      <c r="D48" s="15"/>
      <c r="E48" s="15"/>
      <c r="F48" s="15"/>
      <c r="G48" s="15"/>
    </row>
    <row r="49" spans="1:7" ht="15" customHeight="1" x14ac:dyDescent="0.25">
      <c r="A49" s="15"/>
      <c r="B49" s="15"/>
      <c r="C49" s="15"/>
      <c r="D49" s="15"/>
      <c r="E49" s="15"/>
      <c r="F49" s="15"/>
      <c r="G49" s="15"/>
    </row>
    <row r="50" spans="1:7" ht="15" customHeight="1" x14ac:dyDescent="0.25">
      <c r="A50" s="15"/>
      <c r="B50" s="15"/>
      <c r="C50" s="15"/>
      <c r="D50" s="15"/>
      <c r="E50" s="15"/>
      <c r="F50" s="15"/>
      <c r="G50" s="15"/>
    </row>
    <row r="51" spans="1:7" ht="15" customHeight="1" x14ac:dyDescent="0.25">
      <c r="A51" s="15"/>
      <c r="B51" s="15"/>
      <c r="C51" s="15"/>
      <c r="D51" s="15"/>
      <c r="E51" s="15"/>
      <c r="F51" s="15"/>
      <c r="G51" s="15"/>
    </row>
    <row r="52" spans="1:7" ht="15" customHeight="1" x14ac:dyDescent="0.25">
      <c r="A52" s="15"/>
      <c r="B52" s="15"/>
      <c r="C52" s="15"/>
      <c r="D52" s="15"/>
      <c r="E52" s="15"/>
      <c r="F52" s="15"/>
      <c r="G52" s="15"/>
    </row>
    <row r="53" spans="1:7" ht="15" customHeight="1" x14ac:dyDescent="0.25">
      <c r="A53" s="15"/>
      <c r="B53" s="15"/>
      <c r="C53" s="15"/>
      <c r="D53" s="15"/>
      <c r="E53" s="15"/>
      <c r="F53" s="15"/>
      <c r="G53" s="15"/>
    </row>
    <row r="54" spans="1:7" ht="15" customHeight="1" x14ac:dyDescent="0.25">
      <c r="A54" s="15"/>
      <c r="B54" s="15"/>
      <c r="C54" s="15"/>
      <c r="D54" s="15"/>
      <c r="E54" s="15"/>
      <c r="F54" s="15"/>
      <c r="G54" s="15"/>
    </row>
    <row r="55" spans="1:7" ht="15" customHeight="1" x14ac:dyDescent="0.25">
      <c r="A55" s="15"/>
      <c r="B55" s="15"/>
      <c r="C55" s="15"/>
      <c r="D55" s="15"/>
      <c r="E55" s="15"/>
      <c r="F55" s="15"/>
      <c r="G55" s="15"/>
    </row>
    <row r="56" spans="1:7" ht="15" customHeight="1" x14ac:dyDescent="0.25">
      <c r="A56" s="15"/>
      <c r="B56" s="15"/>
      <c r="C56" s="15"/>
      <c r="D56" s="15"/>
      <c r="E56" s="15"/>
      <c r="F56" s="15"/>
      <c r="G56" s="15"/>
    </row>
    <row r="57" spans="1:7" ht="15" customHeight="1" x14ac:dyDescent="0.25">
      <c r="A57" s="15"/>
      <c r="B57" s="15"/>
      <c r="C57" s="15"/>
      <c r="D57" s="15"/>
      <c r="E57" s="15"/>
      <c r="F57" s="15"/>
      <c r="G57" s="15"/>
    </row>
    <row r="58" spans="1:7" ht="15" customHeight="1" x14ac:dyDescent="0.25">
      <c r="A58" s="15"/>
      <c r="B58" s="15"/>
      <c r="C58" s="15"/>
      <c r="D58" s="15"/>
      <c r="E58" s="15"/>
      <c r="F58" s="15"/>
      <c r="G58" s="15"/>
    </row>
    <row r="59" spans="1:7" ht="15" customHeight="1" x14ac:dyDescent="0.25">
      <c r="A59" s="15"/>
      <c r="B59" s="15"/>
      <c r="C59" s="15"/>
      <c r="D59" s="15"/>
      <c r="E59" s="15"/>
      <c r="F59" s="15"/>
      <c r="G59" s="15"/>
    </row>
    <row r="60" spans="1:7" ht="15" customHeight="1" x14ac:dyDescent="0.25">
      <c r="A60" s="15"/>
      <c r="B60" s="15"/>
      <c r="C60" s="15"/>
      <c r="D60" s="15"/>
      <c r="E60" s="15"/>
      <c r="F60" s="15"/>
      <c r="G60" s="15"/>
    </row>
    <row r="61" spans="1:7" ht="15" customHeight="1" x14ac:dyDescent="0.25">
      <c r="A61" s="15"/>
      <c r="B61" s="15"/>
      <c r="C61" s="15"/>
      <c r="D61" s="15"/>
      <c r="E61" s="15"/>
      <c r="F61" s="15"/>
      <c r="G61" s="15"/>
    </row>
    <row r="62" spans="1:7" ht="15" customHeight="1" x14ac:dyDescent="0.25">
      <c r="A62" s="15"/>
      <c r="B62" s="15"/>
      <c r="C62" s="15"/>
      <c r="D62" s="15"/>
      <c r="E62" s="15"/>
      <c r="F62" s="15"/>
      <c r="G62" s="15"/>
    </row>
    <row r="63" spans="1:7" ht="15" customHeight="1" x14ac:dyDescent="0.25">
      <c r="A63" s="15"/>
      <c r="B63" s="12" t="s">
        <v>243</v>
      </c>
      <c r="C63" s="12"/>
      <c r="D63" s="12"/>
      <c r="E63" s="12"/>
      <c r="F63" s="15"/>
      <c r="G63" s="15"/>
    </row>
    <row r="64" spans="1:7" ht="25.5" customHeight="1" x14ac:dyDescent="0.25">
      <c r="A64" s="15"/>
      <c r="B64" s="53" t="s">
        <v>244</v>
      </c>
      <c r="C64" s="87">
        <f>E26</f>
        <v>6.3066677766677763</v>
      </c>
      <c r="D64" s="87"/>
      <c r="E64" s="15"/>
      <c r="F64" s="15"/>
      <c r="G64" s="15"/>
    </row>
    <row r="65" spans="1:23" ht="24" customHeight="1" x14ac:dyDescent="0.25">
      <c r="A65" s="15"/>
      <c r="B65" s="53" t="s">
        <v>245</v>
      </c>
      <c r="C65" s="88" t="str">
        <f>E27</f>
        <v>Zona segura</v>
      </c>
      <c r="D65" s="88"/>
      <c r="E65" s="15"/>
      <c r="F65" s="15"/>
      <c r="G65" s="15"/>
    </row>
    <row r="66" spans="1:23" ht="15" customHeight="1" x14ac:dyDescent="0.25">
      <c r="A66" s="15"/>
      <c r="B66" s="15"/>
      <c r="C66" s="15"/>
      <c r="D66" s="15"/>
      <c r="E66" s="15"/>
      <c r="F66" s="15"/>
      <c r="G66" s="15"/>
    </row>
    <row r="67" spans="1:23" ht="15" customHeight="1" x14ac:dyDescent="0.25">
      <c r="A67" s="15"/>
      <c r="B67" s="54" t="s">
        <v>246</v>
      </c>
      <c r="C67" s="54" t="s">
        <v>247</v>
      </c>
      <c r="D67" s="15"/>
      <c r="E67" s="15"/>
      <c r="F67" s="15"/>
      <c r="G67" s="15"/>
    </row>
    <row r="68" spans="1:23" ht="15" customHeight="1" x14ac:dyDescent="0.25">
      <c r="A68" s="15"/>
      <c r="B68" s="15" t="s">
        <v>248</v>
      </c>
      <c r="C68" s="55">
        <v>1.81</v>
      </c>
      <c r="D68" s="15"/>
      <c r="E68" s="15"/>
      <c r="F68" s="15"/>
      <c r="G68" s="15"/>
    </row>
    <row r="69" spans="1:23" ht="15" customHeight="1" x14ac:dyDescent="0.25">
      <c r="A69" s="15"/>
      <c r="B69" s="15" t="s">
        <v>249</v>
      </c>
      <c r="C69" s="55">
        <v>1.18</v>
      </c>
      <c r="D69" s="15"/>
      <c r="E69" s="15"/>
      <c r="F69" s="15"/>
      <c r="G69" s="15"/>
    </row>
    <row r="70" spans="1:23" ht="15" customHeight="1" x14ac:dyDescent="0.25">
      <c r="A70" s="15"/>
      <c r="B70" s="15" t="s">
        <v>250</v>
      </c>
      <c r="C70" s="55">
        <v>2</v>
      </c>
      <c r="D70" s="15"/>
      <c r="E70" s="15"/>
      <c r="F70" s="15"/>
      <c r="G70" s="15"/>
    </row>
    <row r="71" spans="1:23" ht="15" customHeight="1" x14ac:dyDescent="0.25">
      <c r="A71" s="15"/>
      <c r="B71" s="15"/>
      <c r="C71" s="15"/>
      <c r="D71" s="15"/>
      <c r="E71" s="15"/>
      <c r="F71" s="15"/>
      <c r="G71" s="15"/>
    </row>
    <row r="72" spans="1:23" ht="15" customHeight="1" x14ac:dyDescent="0.25">
      <c r="A72" s="15"/>
      <c r="B72" s="12" t="s">
        <v>251</v>
      </c>
      <c r="C72" s="12"/>
      <c r="D72" s="12"/>
      <c r="E72" s="12"/>
      <c r="F72" s="12"/>
      <c r="G72" s="12"/>
    </row>
    <row r="73" spans="1:23" ht="15" customHeight="1" x14ac:dyDescent="0.25">
      <c r="A73" s="15"/>
      <c r="B73" s="89" t="s">
        <v>252</v>
      </c>
      <c r="C73" s="89"/>
      <c r="D73" s="89"/>
      <c r="E73" s="89"/>
      <c r="F73" s="89"/>
      <c r="G73" s="89"/>
    </row>
    <row r="74" spans="1:23" ht="15" customHeight="1" x14ac:dyDescent="0.25">
      <c r="A74" s="15"/>
      <c r="B74" s="15"/>
      <c r="C74" s="15"/>
      <c r="D74" s="15"/>
      <c r="E74" s="15"/>
      <c r="F74" s="15"/>
      <c r="G74" s="15"/>
    </row>
    <row r="75" spans="1:23" ht="15" customHeight="1" x14ac:dyDescent="0.25">
      <c r="A75" s="15"/>
      <c r="B75" s="56" t="s">
        <v>253</v>
      </c>
      <c r="C75" s="15"/>
      <c r="D75" s="15"/>
      <c r="E75" s="15"/>
      <c r="F75" s="15"/>
      <c r="G75" s="15"/>
    </row>
    <row r="76" spans="1:23" ht="15" customHeight="1" x14ac:dyDescent="0.25">
      <c r="A76" s="15"/>
      <c r="B76" s="57" t="s">
        <v>254</v>
      </c>
      <c r="C76" s="58">
        <f>C37</f>
        <v>1.81</v>
      </c>
      <c r="D76" s="15"/>
      <c r="E76" s="15"/>
      <c r="F76" s="15"/>
      <c r="G76" s="15"/>
    </row>
    <row r="77" spans="1:23" ht="15" customHeight="1" x14ac:dyDescent="0.25">
      <c r="A77" s="15"/>
      <c r="B77" s="57" t="s">
        <v>255</v>
      </c>
      <c r="C77" s="58">
        <f>C36</f>
        <v>2.99</v>
      </c>
      <c r="D77" s="15"/>
      <c r="E77" s="15"/>
      <c r="F77" s="15"/>
      <c r="G77" s="15"/>
    </row>
    <row r="78" spans="1:23" ht="15" customHeight="1" x14ac:dyDescent="0.25">
      <c r="A78" s="15"/>
      <c r="B78" s="57" t="s">
        <v>256</v>
      </c>
      <c r="C78" s="58">
        <f>MAX(C36+2, E26+1)</f>
        <v>7.3066677766677763</v>
      </c>
      <c r="D78" s="15"/>
      <c r="E78" s="15"/>
      <c r="F78" s="15"/>
      <c r="G78" s="15"/>
    </row>
    <row r="79" spans="1:23" ht="15" customHeight="1" x14ac:dyDescent="0.25">
      <c r="A79" s="15"/>
      <c r="B79" s="57" t="s">
        <v>257</v>
      </c>
      <c r="C79" s="58">
        <f>E26</f>
        <v>6.3066677766677763</v>
      </c>
      <c r="D79" s="15"/>
      <c r="E79" s="15"/>
      <c r="F79" s="15"/>
      <c r="G79" s="15"/>
    </row>
    <row r="80" spans="1:23" ht="15" customHeight="1" x14ac:dyDescent="0.25">
      <c r="A80" s="15"/>
      <c r="B80" s="59"/>
      <c r="C80" s="15"/>
      <c r="D80" s="15"/>
      <c r="E80" s="15"/>
      <c r="F80" s="15"/>
      <c r="G80" s="15"/>
      <c r="H80" s="60" t="s">
        <v>258</v>
      </c>
      <c r="N80" s="61"/>
      <c r="T80" s="90" t="str">
        <f>"Máx: "&amp;TEXT(C78,"0.00")</f>
        <v>Máx: 7.31</v>
      </c>
      <c r="U80" s="90"/>
      <c r="V80" s="90"/>
      <c r="W80" s="90"/>
    </row>
    <row r="81" spans="1:23" ht="19.5" customHeight="1" x14ac:dyDescent="0.25">
      <c r="A81" s="15"/>
      <c r="B81" s="62"/>
      <c r="C81" s="62"/>
      <c r="D81" s="62"/>
      <c r="E81" s="62"/>
      <c r="F81" s="62"/>
      <c r="G81" s="62"/>
      <c r="H81" s="63">
        <f>((0+0.5)/16)*$C$78</f>
        <v>0.22833336802086801</v>
      </c>
      <c r="I81" s="63">
        <f>((1+0.5)/16)*$C$78</f>
        <v>0.68500010406260403</v>
      </c>
      <c r="J81" s="63">
        <f>((2+0.5)/16)*$C$78</f>
        <v>1.1416668401043402</v>
      </c>
      <c r="K81" s="63">
        <f>((3+0.5)/16)*$C$78</f>
        <v>1.598333576146076</v>
      </c>
      <c r="L81" s="63">
        <f>((4+0.5)/16)*$C$78</f>
        <v>2.0550003121878122</v>
      </c>
      <c r="M81" s="63">
        <f>((5+0.5)/16)*$C$78</f>
        <v>2.511667048229548</v>
      </c>
      <c r="N81" s="63">
        <f>((6+0.5)/16)*$C$78</f>
        <v>2.9683337842712842</v>
      </c>
      <c r="O81" s="63">
        <f>((7+0.5)/16)*$C$78</f>
        <v>3.42500052031302</v>
      </c>
      <c r="P81" s="63">
        <f>((8+0.5)/16)*$C$78</f>
        <v>3.8816672563547563</v>
      </c>
      <c r="Q81" s="63">
        <f>((9+0.5)/16)*$C$78</f>
        <v>4.3383339923964925</v>
      </c>
      <c r="R81" s="63">
        <f>((10+0.5)/16)*$C$78</f>
        <v>4.7950007284382279</v>
      </c>
      <c r="S81" s="63">
        <f>((11+0.5)/16)*$C$78</f>
        <v>5.2516674644799641</v>
      </c>
      <c r="T81" s="63">
        <f>((12+0.5)/16)*$C$78</f>
        <v>5.7083342005217004</v>
      </c>
      <c r="U81" s="63">
        <f>((13+0.5)/16)*$C$78</f>
        <v>6.1650009365634366</v>
      </c>
      <c r="V81" s="63">
        <f>((14+0.5)/16)*$C$78</f>
        <v>6.621667672605172</v>
      </c>
      <c r="W81" s="63">
        <f>((15+0.5)/16)*$C$78</f>
        <v>7.0783344086469082</v>
      </c>
    </row>
    <row r="82" spans="1:23" ht="15.75" customHeight="1" x14ac:dyDescent="0.25">
      <c r="A82" s="15"/>
      <c r="B82" s="64"/>
      <c r="C82" s="64"/>
      <c r="D82" s="64"/>
      <c r="E82" s="64"/>
      <c r="F82" s="64"/>
      <c r="G82" s="64"/>
      <c r="H82" s="65" t="str">
        <f>IF(AND($C$79&gt;=(0/16)*$C$78,$C$79&lt;((0+1)/16)*$C$78),"▲",IF(AND(0=16-1,$C$79&gt;=((0+1)/16)*$C$78),"▲",""))</f>
        <v/>
      </c>
      <c r="I82" s="65" t="str">
        <f>IF(AND($C$79&gt;=(1/16)*$C$78,$C$79&lt;((1+1)/16)*$C$78),"▲",IF(AND(1=16-1,$C$79&gt;=((1+1)/16)*$C$78),"▲",""))</f>
        <v/>
      </c>
      <c r="J82" s="65" t="str">
        <f>IF(AND($C$79&gt;=(2/16)*$C$78,$C$79&lt;((2+1)/16)*$C$78),"▲",IF(AND(2=16-1,$C$79&gt;=((2+1)/16)*$C$78),"▲",""))</f>
        <v/>
      </c>
      <c r="K82" s="65" t="str">
        <f>IF(AND($C$79&gt;=(3/16)*$C$78,$C$79&lt;((3+1)/16)*$C$78),"▲",IF(AND(3=16-1,$C$79&gt;=((3+1)/16)*$C$78),"▲",""))</f>
        <v/>
      </c>
      <c r="L82" s="65" t="str">
        <f>IF(AND($C$79&gt;=(4/16)*$C$78,$C$79&lt;((4+1)/16)*$C$78),"▲",IF(AND(4=16-1,$C$79&gt;=((4+1)/16)*$C$78),"▲",""))</f>
        <v/>
      </c>
      <c r="M82" s="65" t="str">
        <f>IF(AND($C$79&gt;=(5/16)*$C$78,$C$79&lt;((5+1)/16)*$C$78),"▲",IF(AND(5=16-1,$C$79&gt;=((5+1)/16)*$C$78),"▲",""))</f>
        <v/>
      </c>
      <c r="N82" s="65" t="str">
        <f>IF(AND($C$79&gt;=(6/16)*$C$78,$C$79&lt;((6+1)/16)*$C$78),"▲",IF(AND(6=16-1,$C$79&gt;=((6+1)/16)*$C$78),"▲",""))</f>
        <v/>
      </c>
      <c r="O82" s="65" t="str">
        <f>IF(AND($C$79&gt;=(7/16)*$C$78,$C$79&lt;((7+1)/16)*$C$78),"▲",IF(AND(7=16-1,$C$79&gt;=((7+1)/16)*$C$78),"▲",""))</f>
        <v/>
      </c>
      <c r="P82" s="65" t="str">
        <f>IF(AND($C$79&gt;=(8/16)*$C$78,$C$79&lt;((8+1)/16)*$C$78),"▲",IF(AND(8=16-1,$C$79&gt;=((8+1)/16)*$C$78),"▲",""))</f>
        <v/>
      </c>
      <c r="Q82" s="65" t="str">
        <f>IF(AND($C$79&gt;=(9/16)*$C$78,$C$79&lt;((9+1)/16)*$C$78),"▲",IF(AND(9=16-1,$C$79&gt;=((9+1)/16)*$C$78),"▲",""))</f>
        <v/>
      </c>
      <c r="R82" s="65" t="str">
        <f>IF(AND($C$79&gt;=(10/16)*$C$78,$C$79&lt;((10+1)/16)*$C$78),"▲",IF(AND(10=16-1,$C$79&gt;=((10+1)/16)*$C$78),"▲",""))</f>
        <v/>
      </c>
      <c r="S82" s="65" t="str">
        <f>IF(AND($C$79&gt;=(11/16)*$C$78,$C$79&lt;((11+1)/16)*$C$78),"▲",IF(AND(11=16-1,$C$79&gt;=((11+1)/16)*$C$78),"▲",""))</f>
        <v/>
      </c>
      <c r="T82" s="65" t="str">
        <f>IF(AND($C$79&gt;=(12/16)*$C$78,$C$79&lt;((12+1)/16)*$C$78),"▲",IF(AND(12=16-1,$C$79&gt;=((12+1)/16)*$C$78),"▲",""))</f>
        <v/>
      </c>
      <c r="U82" s="65" t="str">
        <f>IF(AND($C$79&gt;=(13/16)*$C$78,$C$79&lt;((13+1)/16)*$C$78),"▲",IF(AND(13=16-1,$C$79&gt;=((13+1)/16)*$C$78),"▲",""))</f>
        <v>▲</v>
      </c>
      <c r="V82" s="65" t="str">
        <f>IF(AND($C$79&gt;=(14/16)*$C$78,$C$79&lt;((14+1)/16)*$C$78),"▲",IF(AND(14=16-1,$C$79&gt;=((14+1)/16)*$C$78),"▲",""))</f>
        <v/>
      </c>
      <c r="W82" s="65" t="str">
        <f>IF(AND($C$79&gt;=(15/16)*$C$78,$C$79&lt;((15+1)/16)*$C$78),"▲",IF(AND(15=16-1,$C$79&gt;=((15+1)/16)*$C$78),"▲",""))</f>
        <v/>
      </c>
    </row>
    <row r="83" spans="1:23" ht="12.75" customHeight="1" x14ac:dyDescent="0.25">
      <c r="A83" s="15"/>
      <c r="B83" s="66"/>
      <c r="C83" s="66"/>
      <c r="D83" s="66"/>
      <c r="E83" s="66"/>
      <c r="F83" s="66"/>
      <c r="G83" s="66"/>
      <c r="H83" s="67" t="str">
        <f>IF(AND($C$79&gt;=(0/16)*$C$78,$C$79&lt;((0+1)/16)*$C$78),TEXT($C$79,"0.00"),IF(AND(0=16-1,$C$79&gt;=((0+1)/16)*$C$78),TEXT($C$79,"0.00"),""))</f>
        <v/>
      </c>
      <c r="I83" s="67" t="str">
        <f>IF(AND($C$79&gt;=(1/16)*$C$78,$C$79&lt;((1+1)/16)*$C$78),TEXT($C$79,"0.00"),IF(AND(1=16-1,$C$79&gt;=((1+1)/16)*$C$78),TEXT($C$79,"0.00"),""))</f>
        <v/>
      </c>
      <c r="J83" s="67" t="str">
        <f>IF(AND($C$79&gt;=(2/16)*$C$78,$C$79&lt;((2+1)/16)*$C$78),TEXT($C$79,"0.00"),IF(AND(2=16-1,$C$79&gt;=((2+1)/16)*$C$78),TEXT($C$79,"0.00"),""))</f>
        <v/>
      </c>
      <c r="K83" s="67" t="str">
        <f>IF(AND($C$79&gt;=(3/16)*$C$78,$C$79&lt;((3+1)/16)*$C$78),TEXT($C$79,"0.00"),IF(AND(3=16-1,$C$79&gt;=((3+1)/16)*$C$78),TEXT($C$79,"0.00"),""))</f>
        <v/>
      </c>
      <c r="L83" s="67" t="str">
        <f>IF(AND($C$79&gt;=(4/16)*$C$78,$C$79&lt;((4+1)/16)*$C$78),TEXT($C$79,"0.00"),IF(AND(4=16-1,$C$79&gt;=((4+1)/16)*$C$78),TEXT($C$79,"0.00"),""))</f>
        <v/>
      </c>
      <c r="M83" s="67" t="str">
        <f>IF(AND($C$79&gt;=(5/16)*$C$78,$C$79&lt;((5+1)/16)*$C$78),TEXT($C$79,"0.00"),IF(AND(5=16-1,$C$79&gt;=((5+1)/16)*$C$78),TEXT($C$79,"0.00"),""))</f>
        <v/>
      </c>
      <c r="N83" s="67" t="str">
        <f>IF(AND($C$79&gt;=(6/16)*$C$78,$C$79&lt;((6+1)/16)*$C$78),TEXT($C$79,"0.00"),IF(AND(6=16-1,$C$79&gt;=((6+1)/16)*$C$78),TEXT($C$79,"0.00"),""))</f>
        <v/>
      </c>
      <c r="O83" s="67" t="str">
        <f>IF(AND($C$79&gt;=(7/16)*$C$78,$C$79&lt;((7+1)/16)*$C$78),TEXT($C$79,"0.00"),IF(AND(7=16-1,$C$79&gt;=((7+1)/16)*$C$78),TEXT($C$79,"0.00"),""))</f>
        <v/>
      </c>
      <c r="P83" s="67" t="str">
        <f>IF(AND($C$79&gt;=(8/16)*$C$78,$C$79&lt;((8+1)/16)*$C$78),TEXT($C$79,"0.00"),IF(AND(8=16-1,$C$79&gt;=((8+1)/16)*$C$78),TEXT($C$79,"0.00"),""))</f>
        <v/>
      </c>
      <c r="Q83" s="67" t="str">
        <f>IF(AND($C$79&gt;=(9/16)*$C$78,$C$79&lt;((9+1)/16)*$C$78),TEXT($C$79,"0.00"),IF(AND(9=16-1,$C$79&gt;=((9+1)/16)*$C$78),TEXT($C$79,"0.00"),""))</f>
        <v/>
      </c>
      <c r="R83" s="67" t="str">
        <f>IF(AND($C$79&gt;=(10/16)*$C$78,$C$79&lt;((10+1)/16)*$C$78),TEXT($C$79,"0.00"),IF(AND(10=16-1,$C$79&gt;=((10+1)/16)*$C$78),TEXT($C$79,"0.00"),""))</f>
        <v/>
      </c>
      <c r="S83" s="67" t="str">
        <f>IF(AND($C$79&gt;=(11/16)*$C$78,$C$79&lt;((11+1)/16)*$C$78),TEXT($C$79,"0.00"),IF(AND(11=16-1,$C$79&gt;=((11+1)/16)*$C$78),TEXT($C$79,"0.00"),""))</f>
        <v/>
      </c>
      <c r="T83" s="67" t="str">
        <f>IF(AND($C$79&gt;=(12/16)*$C$78,$C$79&lt;((12+1)/16)*$C$78),TEXT($C$79,"0.00"),IF(AND(12=16-1,$C$79&gt;=((12+1)/16)*$C$78),TEXT($C$79,"0.00"),""))</f>
        <v/>
      </c>
      <c r="U83" s="67" t="str">
        <f>IF(AND($C$79&gt;=(13/16)*$C$78,$C$79&lt;((13+1)/16)*$C$78),TEXT($C$79,"0.00"),IF(AND(13=16-1,$C$79&gt;=((13+1)/16)*$C$78),TEXT($C$79,"0.00"),""))</f>
        <v>6.31</v>
      </c>
      <c r="V83" s="67" t="str">
        <f>IF(AND($C$79&gt;=(14/16)*$C$78,$C$79&lt;((14+1)/16)*$C$78),TEXT($C$79,"0.00"),IF(AND(14=16-1,$C$79&gt;=((14+1)/16)*$C$78),TEXT($C$79,"0.00"),""))</f>
        <v/>
      </c>
      <c r="W83" s="67" t="str">
        <f>IF(AND($C$79&gt;=(15/16)*$C$78,$C$79&lt;((15+1)/16)*$C$78),TEXT($C$79,"0.00"),IF(AND(15=16-1,$C$79&gt;=((15+1)/16)*$C$78),TEXT($C$79,"0.00"),""))</f>
        <v/>
      </c>
    </row>
    <row r="84" spans="1:23" ht="15" customHeight="1" x14ac:dyDescent="0.25">
      <c r="A84" s="15"/>
      <c r="B84" s="15"/>
      <c r="C84" s="15"/>
      <c r="D84" s="15"/>
      <c r="E84" s="15"/>
      <c r="F84" s="15"/>
      <c r="G84" s="15"/>
    </row>
    <row r="85" spans="1:23" ht="15.75" customHeight="1" x14ac:dyDescent="0.25">
      <c r="A85" s="15"/>
      <c r="B85" s="68"/>
      <c r="F85" s="69"/>
      <c r="H85" s="91" t="s">
        <v>259</v>
      </c>
      <c r="I85" s="91"/>
      <c r="J85" s="91"/>
      <c r="K85" s="91"/>
      <c r="L85" s="92" t="s">
        <v>260</v>
      </c>
      <c r="M85" s="92"/>
      <c r="N85" s="92"/>
      <c r="O85" s="93" t="s">
        <v>261</v>
      </c>
      <c r="P85" s="93"/>
      <c r="Q85" s="93"/>
      <c r="R85" s="93"/>
      <c r="S85" s="93"/>
      <c r="T85" s="93"/>
      <c r="U85" s="93"/>
      <c r="V85" s="93"/>
      <c r="W85" s="93"/>
    </row>
    <row r="86" spans="1:23" ht="12" customHeight="1" x14ac:dyDescent="0.25">
      <c r="A86" s="15"/>
      <c r="F86" s="15"/>
      <c r="G86" s="15"/>
      <c r="H86" s="94" t="s">
        <v>262</v>
      </c>
      <c r="I86" s="94"/>
      <c r="J86" s="94"/>
      <c r="K86" s="94"/>
      <c r="L86" s="94" t="s">
        <v>263</v>
      </c>
      <c r="M86" s="94"/>
      <c r="N86" s="94"/>
      <c r="O86" s="94" t="s">
        <v>264</v>
      </c>
      <c r="P86" s="94"/>
      <c r="Q86" s="94"/>
      <c r="R86" s="94"/>
      <c r="S86" s="94"/>
      <c r="T86" s="94"/>
      <c r="U86" s="94"/>
      <c r="V86" s="94"/>
      <c r="W86" s="94"/>
    </row>
    <row r="87" spans="1:23" ht="15" customHeight="1" x14ac:dyDescent="0.25">
      <c r="A87" s="15"/>
      <c r="F87" s="15"/>
      <c r="G87" s="15"/>
    </row>
    <row r="89" spans="1:23" ht="15" customHeight="1" x14ac:dyDescent="0.25">
      <c r="B89" s="95" t="s">
        <v>265</v>
      </c>
      <c r="C89" s="95"/>
      <c r="D89" s="95"/>
      <c r="E89" s="95"/>
      <c r="F89" s="95"/>
      <c r="G89" s="95"/>
    </row>
    <row r="90" spans="1:23" ht="15" customHeight="1" x14ac:dyDescent="0.25">
      <c r="B90" s="95"/>
      <c r="C90" s="95"/>
      <c r="D90" s="95"/>
      <c r="E90" s="95"/>
      <c r="F90" s="95"/>
      <c r="G90" s="95"/>
    </row>
    <row r="91" spans="1:23" ht="15" customHeight="1" x14ac:dyDescent="0.25">
      <c r="B91" s="95"/>
      <c r="C91" s="95"/>
      <c r="D91" s="95"/>
      <c r="E91" s="95"/>
      <c r="F91" s="95"/>
      <c r="G91" s="95"/>
    </row>
  </sheetData>
  <mergeCells count="16">
    <mergeCell ref="H86:K86"/>
    <mergeCell ref="L86:N86"/>
    <mergeCell ref="O86:W86"/>
    <mergeCell ref="B89:G91"/>
    <mergeCell ref="C65:D65"/>
    <mergeCell ref="B72:G72"/>
    <mergeCell ref="B73:G73"/>
    <mergeCell ref="T80:W80"/>
    <mergeCell ref="H85:K85"/>
    <mergeCell ref="L85:N85"/>
    <mergeCell ref="O85:W85"/>
    <mergeCell ref="B2:G2"/>
    <mergeCell ref="B3:G3"/>
    <mergeCell ref="B29:E33"/>
    <mergeCell ref="B63:E63"/>
    <mergeCell ref="C64:D64"/>
  </mergeCells>
  <conditionalFormatting sqref="H81:W81">
    <cfRule type="expression" dxfId="5" priority="2">
      <formula>H81&gt;=$C$77</formula>
    </cfRule>
    <cfRule type="expression" dxfId="4" priority="3">
      <formula>AND(H81&gt;=$C$76,H81&lt;$C$77)</formula>
    </cfRule>
    <cfRule type="expression" dxfId="3" priority="4">
      <formula>H81&lt;$C$76</formula>
    </cfRule>
  </conditionalFormatting>
  <pageMargins left="0.3" right="0.3" top="0.4" bottom="0.4" header="0.511811023622047" footer="0.511811023622047"/>
  <pageSetup paperSize="9" fitToHeight="0" orientation="landscape"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0808D"/>
    <pageSetUpPr fitToPage="1"/>
  </sheetPr>
  <dimension ref="A1:I44"/>
  <sheetViews>
    <sheetView showGridLines="0" zoomScaleNormal="100" workbookViewId="0">
      <pane xSplit="2" ySplit="6" topLeftCell="C7" activePane="bottomRight" state="frozen"/>
      <selection pane="topRight" activeCell="C1" sqref="C1"/>
      <selection pane="bottomLeft" activeCell="A7" sqref="A7"/>
      <selection pane="bottomRight"/>
    </sheetView>
  </sheetViews>
  <sheetFormatPr baseColWidth="10" defaultColWidth="8.7109375" defaultRowHeight="15" x14ac:dyDescent="0.25"/>
  <cols>
    <col min="1" max="1" width="3" customWidth="1"/>
    <col min="2" max="2" width="42" customWidth="1"/>
    <col min="3" max="6" width="20" customWidth="1"/>
    <col min="7" max="7" width="26" customWidth="1"/>
    <col min="8" max="8" width="22" customWidth="1"/>
    <col min="9" max="9" width="13" customWidth="1"/>
  </cols>
  <sheetData>
    <row r="1" spans="1:9" ht="7.5" customHeight="1" x14ac:dyDescent="0.25">
      <c r="A1" s="15"/>
      <c r="B1" s="15"/>
      <c r="C1" s="15"/>
      <c r="D1" s="15"/>
      <c r="E1" s="15"/>
      <c r="F1" s="15"/>
      <c r="G1" s="15"/>
      <c r="H1" s="15"/>
      <c r="I1" s="15"/>
    </row>
    <row r="2" spans="1:9" ht="27.75" customHeight="1" x14ac:dyDescent="0.25">
      <c r="A2" s="15"/>
      <c r="B2" s="14" t="s">
        <v>266</v>
      </c>
      <c r="C2" s="14"/>
      <c r="D2" s="14"/>
      <c r="E2" s="14"/>
      <c r="F2" s="14"/>
      <c r="G2" s="14"/>
      <c r="H2" s="14"/>
      <c r="I2" s="14"/>
    </row>
    <row r="3" spans="1:9" ht="18" customHeight="1" x14ac:dyDescent="0.25">
      <c r="A3" s="15"/>
      <c r="B3" s="13" t="s">
        <v>267</v>
      </c>
      <c r="C3" s="13"/>
      <c r="D3" s="13"/>
      <c r="E3" s="13"/>
      <c r="F3" s="13"/>
      <c r="G3" s="13"/>
      <c r="H3" s="13"/>
      <c r="I3" s="13"/>
    </row>
    <row r="4" spans="1:9" ht="15" customHeight="1" x14ac:dyDescent="0.25">
      <c r="A4" s="15"/>
      <c r="B4" s="15"/>
      <c r="C4" s="15"/>
      <c r="D4" s="15"/>
      <c r="E4" s="15"/>
      <c r="F4" s="15"/>
      <c r="G4" s="15"/>
      <c r="H4" s="15"/>
      <c r="I4" s="15"/>
    </row>
    <row r="5" spans="1:9" ht="24" customHeight="1" x14ac:dyDescent="0.25">
      <c r="A5" s="15"/>
      <c r="B5" s="40" t="s">
        <v>268</v>
      </c>
      <c r="C5" s="40" t="s">
        <v>269</v>
      </c>
      <c r="D5" s="40" t="s">
        <v>270</v>
      </c>
      <c r="E5" s="40" t="s">
        <v>271</v>
      </c>
      <c r="F5" s="40" t="s">
        <v>272</v>
      </c>
      <c r="G5" s="40" t="s">
        <v>273</v>
      </c>
      <c r="H5" s="40" t="s">
        <v>274</v>
      </c>
      <c r="I5" s="15"/>
    </row>
    <row r="6" spans="1:9" ht="15" customHeight="1" x14ac:dyDescent="0.25">
      <c r="A6" s="15"/>
      <c r="B6" s="16" t="s">
        <v>275</v>
      </c>
      <c r="C6" s="32">
        <v>10</v>
      </c>
      <c r="D6" s="70">
        <v>3</v>
      </c>
      <c r="E6" s="71">
        <f t="shared" ref="E6:E15" si="0">C6*D6/4</f>
        <v>7.5</v>
      </c>
      <c r="F6" s="72">
        <f t="shared" ref="F6:F15" si="1">C6*D6/4</f>
        <v>7.5</v>
      </c>
      <c r="G6" s="73"/>
      <c r="H6" s="74" t="str">
        <f t="shared" ref="H6:H15" si="2">CHOOSE(D6,"1: Insuficiente","2: En desarrollo","3: Competente","4: Sobresaliente")</f>
        <v>3: Competente</v>
      </c>
      <c r="I6" s="15"/>
    </row>
    <row r="7" spans="1:9" ht="15" customHeight="1" x14ac:dyDescent="0.25">
      <c r="A7" s="15"/>
      <c r="B7" s="16" t="s">
        <v>276</v>
      </c>
      <c r="C7" s="32">
        <v>12</v>
      </c>
      <c r="D7" s="70">
        <v>3</v>
      </c>
      <c r="E7" s="71">
        <f t="shared" si="0"/>
        <v>9</v>
      </c>
      <c r="F7" s="72">
        <f t="shared" si="1"/>
        <v>9</v>
      </c>
      <c r="G7" s="73"/>
      <c r="H7" s="74" t="str">
        <f t="shared" si="2"/>
        <v>3: Competente</v>
      </c>
      <c r="I7" s="15"/>
    </row>
    <row r="8" spans="1:9" ht="15" customHeight="1" x14ac:dyDescent="0.25">
      <c r="A8" s="15"/>
      <c r="B8" s="16" t="s">
        <v>277</v>
      </c>
      <c r="C8" s="32">
        <v>15</v>
      </c>
      <c r="D8" s="70">
        <v>3</v>
      </c>
      <c r="E8" s="71">
        <f t="shared" si="0"/>
        <v>11.25</v>
      </c>
      <c r="F8" s="72">
        <f t="shared" si="1"/>
        <v>11.25</v>
      </c>
      <c r="G8" s="73"/>
      <c r="H8" s="74" t="str">
        <f t="shared" si="2"/>
        <v>3: Competente</v>
      </c>
      <c r="I8" s="15"/>
    </row>
    <row r="9" spans="1:9" ht="15" customHeight="1" x14ac:dyDescent="0.25">
      <c r="A9" s="15"/>
      <c r="B9" s="16" t="s">
        <v>278</v>
      </c>
      <c r="C9" s="32">
        <v>15</v>
      </c>
      <c r="D9" s="70">
        <v>3</v>
      </c>
      <c r="E9" s="71">
        <f t="shared" si="0"/>
        <v>11.25</v>
      </c>
      <c r="F9" s="72">
        <f t="shared" si="1"/>
        <v>11.25</v>
      </c>
      <c r="G9" s="73"/>
      <c r="H9" s="74" t="str">
        <f t="shared" si="2"/>
        <v>3: Competente</v>
      </c>
      <c r="I9" s="15"/>
    </row>
    <row r="10" spans="1:9" ht="15" customHeight="1" x14ac:dyDescent="0.25">
      <c r="A10" s="15"/>
      <c r="B10" s="16" t="s">
        <v>279</v>
      </c>
      <c r="C10" s="32">
        <v>10</v>
      </c>
      <c r="D10" s="70">
        <v>3</v>
      </c>
      <c r="E10" s="71">
        <f t="shared" si="0"/>
        <v>7.5</v>
      </c>
      <c r="F10" s="72">
        <f t="shared" si="1"/>
        <v>7.5</v>
      </c>
      <c r="G10" s="73"/>
      <c r="H10" s="74" t="str">
        <f t="shared" si="2"/>
        <v>3: Competente</v>
      </c>
      <c r="I10" s="15"/>
    </row>
    <row r="11" spans="1:9" ht="15" customHeight="1" x14ac:dyDescent="0.25">
      <c r="A11" s="15"/>
      <c r="B11" s="16" t="s">
        <v>280</v>
      </c>
      <c r="C11" s="32">
        <v>10</v>
      </c>
      <c r="D11" s="70">
        <v>3</v>
      </c>
      <c r="E11" s="71">
        <f t="shared" si="0"/>
        <v>7.5</v>
      </c>
      <c r="F11" s="72">
        <f t="shared" si="1"/>
        <v>7.5</v>
      </c>
      <c r="G11" s="73"/>
      <c r="H11" s="74" t="str">
        <f t="shared" si="2"/>
        <v>3: Competente</v>
      </c>
      <c r="I11" s="15"/>
    </row>
    <row r="12" spans="1:9" ht="15" customHeight="1" x14ac:dyDescent="0.25">
      <c r="A12" s="15"/>
      <c r="B12" s="16" t="s">
        <v>281</v>
      </c>
      <c r="C12" s="32">
        <v>13</v>
      </c>
      <c r="D12" s="70">
        <v>3</v>
      </c>
      <c r="E12" s="71">
        <f t="shared" si="0"/>
        <v>9.75</v>
      </c>
      <c r="F12" s="72">
        <f t="shared" si="1"/>
        <v>9.75</v>
      </c>
      <c r="G12" s="73"/>
      <c r="H12" s="74" t="str">
        <f t="shared" si="2"/>
        <v>3: Competente</v>
      </c>
      <c r="I12" s="15"/>
    </row>
    <row r="13" spans="1:9" ht="15" customHeight="1" x14ac:dyDescent="0.25">
      <c r="A13" s="15"/>
      <c r="B13" s="16" t="s">
        <v>282</v>
      </c>
      <c r="C13" s="32">
        <v>5</v>
      </c>
      <c r="D13" s="70">
        <v>3</v>
      </c>
      <c r="E13" s="71">
        <f t="shared" si="0"/>
        <v>3.75</v>
      </c>
      <c r="F13" s="72">
        <f t="shared" si="1"/>
        <v>3.75</v>
      </c>
      <c r="G13" s="73"/>
      <c r="H13" s="74" t="str">
        <f t="shared" si="2"/>
        <v>3: Competente</v>
      </c>
      <c r="I13" s="15"/>
    </row>
    <row r="14" spans="1:9" ht="15" customHeight="1" x14ac:dyDescent="0.25">
      <c r="A14" s="15"/>
      <c r="B14" s="16" t="s">
        <v>283</v>
      </c>
      <c r="C14" s="32">
        <v>7</v>
      </c>
      <c r="D14" s="70">
        <v>3</v>
      </c>
      <c r="E14" s="71">
        <f t="shared" si="0"/>
        <v>5.25</v>
      </c>
      <c r="F14" s="72">
        <f t="shared" si="1"/>
        <v>5.25</v>
      </c>
      <c r="G14" s="73"/>
      <c r="H14" s="74" t="str">
        <f t="shared" si="2"/>
        <v>3: Competente</v>
      </c>
      <c r="I14" s="15"/>
    </row>
    <row r="15" spans="1:9" ht="15" customHeight="1" x14ac:dyDescent="0.25">
      <c r="A15" s="15"/>
      <c r="B15" s="16" t="s">
        <v>284</v>
      </c>
      <c r="C15" s="32">
        <v>3</v>
      </c>
      <c r="D15" s="70">
        <v>3</v>
      </c>
      <c r="E15" s="71">
        <f t="shared" si="0"/>
        <v>2.25</v>
      </c>
      <c r="F15" s="72">
        <f t="shared" si="1"/>
        <v>2.25</v>
      </c>
      <c r="G15" s="73"/>
      <c r="H15" s="74" t="str">
        <f t="shared" si="2"/>
        <v>3: Competente</v>
      </c>
      <c r="I15" s="15"/>
    </row>
    <row r="16" spans="1:9" ht="15" customHeight="1" x14ac:dyDescent="0.25">
      <c r="A16" s="15"/>
      <c r="B16" s="75" t="s">
        <v>285</v>
      </c>
      <c r="C16" s="76">
        <f>SUM(C6:C15)</f>
        <v>100</v>
      </c>
      <c r="D16" s="77"/>
      <c r="E16" s="77"/>
      <c r="F16" s="78">
        <f>SUM(F6:F15)</f>
        <v>75</v>
      </c>
      <c r="G16" s="77"/>
      <c r="H16" s="77"/>
      <c r="I16" s="15"/>
    </row>
    <row r="17" spans="1:9" ht="15" customHeight="1" x14ac:dyDescent="0.25">
      <c r="A17" s="15"/>
      <c r="B17" s="15"/>
      <c r="C17" s="15"/>
      <c r="D17" s="15"/>
      <c r="E17" s="15"/>
      <c r="F17" s="15"/>
      <c r="G17" s="15"/>
      <c r="H17" s="15"/>
      <c r="I17" s="15"/>
    </row>
    <row r="18" spans="1:9" ht="15" customHeight="1" x14ac:dyDescent="0.25">
      <c r="A18" s="15"/>
      <c r="B18" s="12" t="s">
        <v>286</v>
      </c>
      <c r="C18" s="12"/>
      <c r="D18" s="12"/>
      <c r="E18" s="12"/>
      <c r="F18" s="12"/>
      <c r="G18" s="15"/>
      <c r="H18" s="15"/>
      <c r="I18" s="15"/>
    </row>
    <row r="19" spans="1:9" ht="15" customHeight="1" x14ac:dyDescent="0.25">
      <c r="A19" s="15"/>
      <c r="B19" s="17" t="s">
        <v>287</v>
      </c>
      <c r="C19" s="79">
        <f>F16</f>
        <v>75</v>
      </c>
      <c r="D19" s="15"/>
      <c r="E19" s="15"/>
      <c r="F19" s="15"/>
      <c r="G19" s="15"/>
      <c r="H19" s="15"/>
      <c r="I19" s="15"/>
    </row>
    <row r="20" spans="1:9" ht="15" customHeight="1" x14ac:dyDescent="0.25">
      <c r="A20" s="15"/>
      <c r="B20" s="17" t="s">
        <v>288</v>
      </c>
      <c r="C20" s="96" t="str">
        <f>IF(C19&gt;=90,"Sobresaliente",IF(C19&gt;=80,"Muy competente",IF(C19&gt;=70,"Competente",IF(C19&gt;=60,"En desarrollo","Insuficiente"))))</f>
        <v>Competente</v>
      </c>
      <c r="D20" s="96"/>
      <c r="E20" s="15"/>
      <c r="F20" s="15"/>
      <c r="G20" s="15"/>
      <c r="H20" s="15"/>
      <c r="I20" s="15"/>
    </row>
    <row r="21" spans="1:9" ht="15" customHeight="1" x14ac:dyDescent="0.25">
      <c r="A21" s="15"/>
      <c r="B21" s="15"/>
      <c r="C21" s="15"/>
      <c r="D21" s="15"/>
      <c r="E21" s="15"/>
      <c r="F21" s="15"/>
      <c r="G21" s="15"/>
      <c r="H21" s="15"/>
      <c r="I21" s="15"/>
    </row>
    <row r="22" spans="1:9" ht="15" customHeight="1" x14ac:dyDescent="0.25">
      <c r="A22" s="15"/>
      <c r="B22" s="97" t="s">
        <v>289</v>
      </c>
      <c r="C22" s="97"/>
      <c r="D22" s="97"/>
      <c r="E22" s="97"/>
      <c r="F22" s="97"/>
      <c r="G22" s="97"/>
      <c r="H22" s="97"/>
      <c r="I22" s="15"/>
    </row>
    <row r="23" spans="1:9" ht="15" customHeight="1" x14ac:dyDescent="0.25">
      <c r="A23" s="15"/>
      <c r="B23" s="15"/>
      <c r="C23" s="15"/>
      <c r="D23" s="15"/>
      <c r="E23" s="15"/>
      <c r="F23" s="15"/>
      <c r="G23" s="15"/>
      <c r="H23" s="15"/>
      <c r="I23" s="15"/>
    </row>
    <row r="24" spans="1:9" ht="15" customHeight="1" x14ac:dyDescent="0.25">
      <c r="A24" s="15"/>
      <c r="B24" s="12" t="s">
        <v>290</v>
      </c>
      <c r="C24" s="12"/>
      <c r="D24" s="12"/>
      <c r="E24" s="12"/>
      <c r="F24" s="12"/>
      <c r="G24" s="15"/>
      <c r="H24" s="15"/>
      <c r="I24" s="15"/>
    </row>
    <row r="25" spans="1:9" ht="15" customHeight="1" x14ac:dyDescent="0.25">
      <c r="A25" s="15"/>
      <c r="B25" s="17" t="s">
        <v>291</v>
      </c>
      <c r="C25" s="98" t="s">
        <v>292</v>
      </c>
      <c r="D25" s="98"/>
      <c r="E25" s="98"/>
      <c r="F25" s="15"/>
      <c r="G25" s="15"/>
      <c r="H25" s="15"/>
      <c r="I25" s="15"/>
    </row>
    <row r="26" spans="1:9" ht="15" customHeight="1" x14ac:dyDescent="0.25">
      <c r="A26" s="15"/>
      <c r="B26" s="15"/>
      <c r="C26" s="15"/>
      <c r="D26" s="15"/>
      <c r="E26" s="15"/>
      <c r="F26" s="15"/>
      <c r="G26" s="15"/>
      <c r="H26" s="15"/>
      <c r="I26" s="15"/>
    </row>
    <row r="27" spans="1:9" ht="15" customHeight="1" x14ac:dyDescent="0.25">
      <c r="A27" s="15"/>
      <c r="B27" s="12" t="s">
        <v>293</v>
      </c>
      <c r="C27" s="12"/>
      <c r="D27" s="12"/>
      <c r="E27" s="12"/>
      <c r="F27" s="12"/>
      <c r="G27" s="15"/>
      <c r="H27" s="15"/>
      <c r="I27" s="15"/>
    </row>
    <row r="28" spans="1:9" ht="15" customHeight="1" x14ac:dyDescent="0.25">
      <c r="A28" s="15"/>
      <c r="B28" s="3" t="str">
        <f>IF(C19&gt;=80,"Puntuación &gt;= 80: hay calidad técnica alta en el análisis presentado, pero la decisión final depende de la capacidad de pago, las garantías y las políticas de la institución. No debe aprobarse automáticamente por el puntaje.",IF(C19&gt;=60,"Puntuación entre 60 y 79: el análisis requiere mitigantes y correcciones antes de sustentar una aprobación; revise en particular capacidad de pago, cartera y garantías.","Puntuación menor a 60: el análisis no sustenta una aprobación de crédito en su estado actual."))</f>
        <v>Puntuación entre 60 y 79: el análisis requiere mitigantes y correcciones antes de sustentar una aprobación; revise en particular capacidad de pago, cartera y garantías.</v>
      </c>
      <c r="C28" s="3"/>
      <c r="D28" s="3"/>
      <c r="E28" s="3"/>
      <c r="F28" s="3"/>
      <c r="G28" s="3"/>
      <c r="H28" s="3"/>
      <c r="I28" s="15"/>
    </row>
    <row r="29" spans="1:9" ht="15" customHeight="1" x14ac:dyDescent="0.25">
      <c r="A29" s="15"/>
      <c r="B29" s="3"/>
      <c r="C29" s="3"/>
      <c r="D29" s="3"/>
      <c r="E29" s="3"/>
      <c r="F29" s="3"/>
      <c r="G29" s="3"/>
      <c r="H29" s="3"/>
      <c r="I29" s="15"/>
    </row>
    <row r="30" spans="1:9" ht="15" customHeight="1" x14ac:dyDescent="0.25">
      <c r="A30" s="15"/>
      <c r="B30" s="3"/>
      <c r="C30" s="3"/>
      <c r="D30" s="3"/>
      <c r="E30" s="3"/>
      <c r="F30" s="3"/>
      <c r="G30" s="3"/>
      <c r="H30" s="3"/>
      <c r="I30" s="15"/>
    </row>
    <row r="31" spans="1:9" ht="15" customHeight="1" x14ac:dyDescent="0.25">
      <c r="A31" s="15"/>
      <c r="B31" s="3"/>
      <c r="C31" s="3"/>
      <c r="D31" s="3"/>
      <c r="E31" s="3"/>
      <c r="F31" s="3"/>
      <c r="G31" s="3"/>
      <c r="H31" s="3"/>
      <c r="I31" s="15"/>
    </row>
    <row r="32" spans="1:9" ht="15" customHeight="1" x14ac:dyDescent="0.25">
      <c r="A32" s="15"/>
      <c r="B32" s="15"/>
      <c r="C32" s="15"/>
      <c r="D32" s="15"/>
      <c r="E32" s="15"/>
      <c r="F32" s="15"/>
      <c r="G32" s="15"/>
      <c r="H32" s="15"/>
      <c r="I32" s="15"/>
    </row>
    <row r="33" spans="1:9" ht="15" customHeight="1" x14ac:dyDescent="0.25">
      <c r="A33" s="15"/>
      <c r="B33" s="12" t="s">
        <v>294</v>
      </c>
      <c r="C33" s="12"/>
      <c r="D33" s="12"/>
      <c r="E33" s="12"/>
      <c r="F33" s="12"/>
      <c r="G33" s="12"/>
      <c r="H33" s="12"/>
      <c r="I33" s="15"/>
    </row>
    <row r="34" spans="1:9" ht="15" customHeight="1" x14ac:dyDescent="0.25">
      <c r="A34" s="15"/>
      <c r="B34" s="80" t="s">
        <v>268</v>
      </c>
      <c r="C34" s="80" t="s">
        <v>295</v>
      </c>
      <c r="D34" s="80" t="s">
        <v>296</v>
      </c>
      <c r="E34" s="80" t="s">
        <v>297</v>
      </c>
      <c r="F34" s="80" t="s">
        <v>298</v>
      </c>
      <c r="G34" s="15"/>
      <c r="H34" s="15"/>
      <c r="I34" s="15"/>
    </row>
    <row r="35" spans="1:9" ht="69.75" customHeight="1" x14ac:dyDescent="0.25">
      <c r="A35" s="15"/>
      <c r="B35" s="81" t="s">
        <v>275</v>
      </c>
      <c r="C35" s="82" t="s">
        <v>299</v>
      </c>
      <c r="D35" s="82" t="s">
        <v>300</v>
      </c>
      <c r="E35" s="82" t="s">
        <v>301</v>
      </c>
      <c r="F35" s="82" t="s">
        <v>302</v>
      </c>
      <c r="G35" s="15"/>
      <c r="H35" s="15"/>
      <c r="I35" s="15"/>
    </row>
    <row r="36" spans="1:9" ht="69.75" customHeight="1" x14ac:dyDescent="0.25">
      <c r="A36" s="15"/>
      <c r="B36" s="81" t="s">
        <v>276</v>
      </c>
      <c r="C36" s="82" t="s">
        <v>303</v>
      </c>
      <c r="D36" s="82" t="s">
        <v>304</v>
      </c>
      <c r="E36" s="82" t="s">
        <v>305</v>
      </c>
      <c r="F36" s="82" t="s">
        <v>306</v>
      </c>
      <c r="G36" s="15"/>
      <c r="H36" s="15"/>
      <c r="I36" s="15"/>
    </row>
    <row r="37" spans="1:9" ht="69.75" customHeight="1" x14ac:dyDescent="0.25">
      <c r="A37" s="15"/>
      <c r="B37" s="81" t="s">
        <v>277</v>
      </c>
      <c r="C37" s="82" t="s">
        <v>307</v>
      </c>
      <c r="D37" s="82" t="s">
        <v>308</v>
      </c>
      <c r="E37" s="82" t="s">
        <v>309</v>
      </c>
      <c r="F37" s="82" t="s">
        <v>310</v>
      </c>
      <c r="G37" s="15"/>
      <c r="H37" s="15"/>
      <c r="I37" s="15"/>
    </row>
    <row r="38" spans="1:9" ht="69.75" customHeight="1" x14ac:dyDescent="0.25">
      <c r="A38" s="15"/>
      <c r="B38" s="81" t="s">
        <v>278</v>
      </c>
      <c r="C38" s="82" t="s">
        <v>311</v>
      </c>
      <c r="D38" s="82" t="s">
        <v>312</v>
      </c>
      <c r="E38" s="82" t="s">
        <v>313</v>
      </c>
      <c r="F38" s="82" t="s">
        <v>314</v>
      </c>
      <c r="G38" s="15"/>
      <c r="H38" s="15"/>
      <c r="I38" s="15"/>
    </row>
    <row r="39" spans="1:9" ht="69.75" customHeight="1" x14ac:dyDescent="0.25">
      <c r="A39" s="15"/>
      <c r="B39" s="81" t="s">
        <v>279</v>
      </c>
      <c r="C39" s="82" t="s">
        <v>315</v>
      </c>
      <c r="D39" s="82" t="s">
        <v>316</v>
      </c>
      <c r="E39" s="82" t="s">
        <v>317</v>
      </c>
      <c r="F39" s="82" t="s">
        <v>318</v>
      </c>
      <c r="G39" s="15"/>
      <c r="H39" s="15"/>
      <c r="I39" s="15"/>
    </row>
    <row r="40" spans="1:9" ht="69.75" customHeight="1" x14ac:dyDescent="0.25">
      <c r="A40" s="15"/>
      <c r="B40" s="81" t="s">
        <v>280</v>
      </c>
      <c r="C40" s="82" t="s">
        <v>319</v>
      </c>
      <c r="D40" s="82" t="s">
        <v>320</v>
      </c>
      <c r="E40" s="82" t="s">
        <v>321</v>
      </c>
      <c r="F40" s="82" t="s">
        <v>322</v>
      </c>
      <c r="G40" s="15"/>
      <c r="H40" s="15"/>
      <c r="I40" s="15"/>
    </row>
    <row r="41" spans="1:9" ht="69.75" customHeight="1" x14ac:dyDescent="0.25">
      <c r="A41" s="15"/>
      <c r="B41" s="81" t="s">
        <v>281</v>
      </c>
      <c r="C41" s="82" t="s">
        <v>323</v>
      </c>
      <c r="D41" s="82" t="s">
        <v>324</v>
      </c>
      <c r="E41" s="82" t="s">
        <v>325</v>
      </c>
      <c r="F41" s="82" t="s">
        <v>326</v>
      </c>
      <c r="G41" s="15"/>
      <c r="H41" s="15"/>
      <c r="I41" s="15"/>
    </row>
    <row r="42" spans="1:9" ht="69.75" customHeight="1" x14ac:dyDescent="0.25">
      <c r="A42" s="15"/>
      <c r="B42" s="81" t="s">
        <v>282</v>
      </c>
      <c r="C42" s="82" t="s">
        <v>327</v>
      </c>
      <c r="D42" s="82" t="s">
        <v>328</v>
      </c>
      <c r="E42" s="82" t="s">
        <v>329</v>
      </c>
      <c r="F42" s="82" t="s">
        <v>330</v>
      </c>
      <c r="G42" s="15"/>
      <c r="H42" s="15"/>
      <c r="I42" s="15"/>
    </row>
    <row r="43" spans="1:9" ht="69.75" customHeight="1" x14ac:dyDescent="0.25">
      <c r="A43" s="15"/>
      <c r="B43" s="81" t="s">
        <v>283</v>
      </c>
      <c r="C43" s="82" t="s">
        <v>331</v>
      </c>
      <c r="D43" s="82" t="s">
        <v>332</v>
      </c>
      <c r="E43" s="82" t="s">
        <v>333</v>
      </c>
      <c r="F43" s="82" t="s">
        <v>334</v>
      </c>
      <c r="G43" s="15"/>
      <c r="H43" s="15"/>
      <c r="I43" s="15"/>
    </row>
    <row r="44" spans="1:9" ht="69.75" customHeight="1" x14ac:dyDescent="0.25">
      <c r="A44" s="15"/>
      <c r="B44" s="81" t="s">
        <v>284</v>
      </c>
      <c r="C44" s="82" t="s">
        <v>335</v>
      </c>
      <c r="D44" s="82" t="s">
        <v>336</v>
      </c>
      <c r="E44" s="82" t="s">
        <v>337</v>
      </c>
      <c r="F44" s="82" t="s">
        <v>338</v>
      </c>
      <c r="G44" s="15"/>
      <c r="H44" s="15"/>
      <c r="I44" s="15"/>
    </row>
  </sheetData>
  <mergeCells count="10">
    <mergeCell ref="B24:F24"/>
    <mergeCell ref="C25:E25"/>
    <mergeCell ref="B27:F27"/>
    <mergeCell ref="B28:H31"/>
    <mergeCell ref="B33:H33"/>
    <mergeCell ref="B2:I2"/>
    <mergeCell ref="B3:I3"/>
    <mergeCell ref="B18:F18"/>
    <mergeCell ref="C20:D20"/>
    <mergeCell ref="B22:H22"/>
  </mergeCells>
  <conditionalFormatting sqref="C20:D20">
    <cfRule type="expression" dxfId="2" priority="2">
      <formula>OR(C20="Sobresaliente",C20="Muy competente")</formula>
    </cfRule>
    <cfRule type="expression" dxfId="1" priority="3">
      <formula>OR(C20="Competente",C20="En desarrollo")</formula>
    </cfRule>
    <cfRule type="expression" dxfId="0" priority="4">
      <formula>C20="Insuficiente"</formula>
    </cfRule>
  </conditionalFormatting>
  <dataValidations count="2">
    <dataValidation type="list" allowBlank="1" promptTitle="Nivel de desempeño" prompt="Seleccione 1 (Insuficiente) a 4 (Sobresaliente)" sqref="D6:D15" xr:uid="{00000000-0002-0000-0700-000000000000}">
      <formula1>"1,2,3,4"</formula1>
      <formula2>0</formula2>
    </dataValidation>
    <dataValidation type="list" allowBlank="1" prompt="Seleccione la decisión crediticia" sqref="C25" xr:uid="{00000000-0002-0000-0700-000001000000}">
      <formula1>"Aprobar,Aprobar condicionado,Reducir monto,Postergar,Rechazar"</formula1>
      <formula2>0</formula2>
    </dataValidation>
  </dataValidations>
  <pageMargins left="0.3" right="0.3" top="0.4" bottom="0.4" header="0.511811023622047" footer="0.511811023622047"/>
  <pageSetup paperSize="9"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0808D"/>
    <pageSetUpPr fitToPage="1"/>
  </sheetPr>
  <dimension ref="A1:H28"/>
  <sheetViews>
    <sheetView showGridLines="0" zoomScaleNormal="100" workbookViewId="0">
      <pane xSplit="1" ySplit="6" topLeftCell="B7" activePane="bottomRight" state="frozen"/>
      <selection pane="topRight" activeCell="B1" sqref="B1"/>
      <selection pane="bottomLeft" activeCell="A7" sqref="A7"/>
      <selection pane="bottomRight"/>
    </sheetView>
  </sheetViews>
  <sheetFormatPr baseColWidth="10" defaultColWidth="8.7109375" defaultRowHeight="15" x14ac:dyDescent="0.25"/>
  <cols>
    <col min="1" max="1" width="3" customWidth="1"/>
    <col min="2" max="3" width="34" customWidth="1"/>
    <col min="4" max="6" width="20" customWidth="1"/>
    <col min="7" max="7" width="30" customWidth="1"/>
    <col min="8" max="8" width="13" customWidth="1"/>
  </cols>
  <sheetData>
    <row r="1" spans="1:8" ht="7.5" customHeight="1" x14ac:dyDescent="0.25">
      <c r="A1" s="15"/>
      <c r="B1" s="15"/>
      <c r="C1" s="15"/>
      <c r="D1" s="15"/>
      <c r="E1" s="15"/>
      <c r="F1" s="15"/>
      <c r="G1" s="15"/>
      <c r="H1" s="15"/>
    </row>
    <row r="2" spans="1:8" ht="27.75" customHeight="1" x14ac:dyDescent="0.25">
      <c r="A2" s="15"/>
      <c r="B2" s="14" t="s">
        <v>339</v>
      </c>
      <c r="C2" s="14"/>
      <c r="D2" s="14"/>
      <c r="E2" s="14"/>
      <c r="F2" s="14"/>
      <c r="G2" s="14"/>
      <c r="H2" s="14"/>
    </row>
    <row r="3" spans="1:8" ht="18" customHeight="1" x14ac:dyDescent="0.25">
      <c r="A3" s="15"/>
      <c r="B3" s="13" t="s">
        <v>340</v>
      </c>
      <c r="C3" s="13"/>
      <c r="D3" s="13"/>
      <c r="E3" s="13"/>
      <c r="F3" s="13"/>
      <c r="G3" s="13"/>
      <c r="H3" s="13"/>
    </row>
    <row r="4" spans="1:8" ht="15" customHeight="1" x14ac:dyDescent="0.25">
      <c r="A4" s="15"/>
      <c r="B4" s="15"/>
      <c r="C4" s="15"/>
      <c r="D4" s="15"/>
      <c r="E4" s="15"/>
      <c r="F4" s="15"/>
      <c r="G4" s="15"/>
      <c r="H4" s="15"/>
    </row>
    <row r="5" spans="1:8" ht="15" customHeight="1" x14ac:dyDescent="0.25">
      <c r="A5" s="15"/>
      <c r="B5" s="12" t="s">
        <v>341</v>
      </c>
      <c r="C5" s="12"/>
      <c r="D5" s="12"/>
      <c r="E5" s="12"/>
      <c r="F5" s="12"/>
      <c r="G5" s="12"/>
      <c r="H5" s="15"/>
    </row>
    <row r="6" spans="1:8" ht="15" customHeight="1" x14ac:dyDescent="0.25">
      <c r="A6" s="15"/>
      <c r="B6" s="3" t="s">
        <v>342</v>
      </c>
      <c r="C6" s="3"/>
      <c r="D6" s="3"/>
      <c r="E6" s="3"/>
      <c r="F6" s="3"/>
      <c r="G6" s="3"/>
      <c r="H6" s="15"/>
    </row>
    <row r="7" spans="1:8" ht="15" customHeight="1" x14ac:dyDescent="0.25">
      <c r="A7" s="15"/>
      <c r="B7" s="3"/>
      <c r="C7" s="3"/>
      <c r="D7" s="3"/>
      <c r="E7" s="3"/>
      <c r="F7" s="3"/>
      <c r="G7" s="3"/>
      <c r="H7" s="15"/>
    </row>
    <row r="8" spans="1:8" ht="15" customHeight="1" x14ac:dyDescent="0.25">
      <c r="A8" s="15"/>
      <c r="B8" s="3"/>
      <c r="C8" s="3"/>
      <c r="D8" s="3"/>
      <c r="E8" s="3"/>
      <c r="F8" s="3"/>
      <c r="G8" s="3"/>
      <c r="H8" s="15"/>
    </row>
    <row r="9" spans="1:8" ht="15" customHeight="1" x14ac:dyDescent="0.25">
      <c r="A9" s="15"/>
      <c r="B9" s="15"/>
      <c r="C9" s="15"/>
      <c r="D9" s="15"/>
      <c r="E9" s="15"/>
      <c r="F9" s="15"/>
      <c r="G9" s="15"/>
      <c r="H9" s="15"/>
    </row>
    <row r="10" spans="1:8" ht="21.75" customHeight="1" x14ac:dyDescent="0.25">
      <c r="A10" s="15"/>
      <c r="B10" s="80" t="s">
        <v>146</v>
      </c>
      <c r="C10" s="80" t="s">
        <v>343</v>
      </c>
      <c r="D10" s="80" t="s">
        <v>344</v>
      </c>
      <c r="E10" s="80" t="s">
        <v>345</v>
      </c>
      <c r="F10" s="80" t="s">
        <v>346</v>
      </c>
      <c r="G10" s="80" t="s">
        <v>347</v>
      </c>
      <c r="H10" s="15"/>
    </row>
    <row r="11" spans="1:8" ht="31.5" customHeight="1" x14ac:dyDescent="0.25">
      <c r="A11" s="15"/>
      <c r="B11" s="74" t="s">
        <v>348</v>
      </c>
      <c r="C11" s="74" t="s">
        <v>152</v>
      </c>
      <c r="D11" s="83" t="s">
        <v>349</v>
      </c>
      <c r="E11" s="84" t="s">
        <v>350</v>
      </c>
      <c r="F11" s="85" t="s">
        <v>351</v>
      </c>
      <c r="G11" s="86" t="s">
        <v>352</v>
      </c>
      <c r="H11" s="15"/>
    </row>
    <row r="12" spans="1:8" ht="31.5" customHeight="1" x14ac:dyDescent="0.25">
      <c r="A12" s="15"/>
      <c r="B12" s="74" t="s">
        <v>353</v>
      </c>
      <c r="C12" s="74" t="s">
        <v>155</v>
      </c>
      <c r="D12" s="83" t="s">
        <v>354</v>
      </c>
      <c r="E12" s="84" t="s">
        <v>355</v>
      </c>
      <c r="F12" s="85" t="s">
        <v>356</v>
      </c>
      <c r="G12" s="86" t="s">
        <v>357</v>
      </c>
      <c r="H12" s="15"/>
    </row>
    <row r="13" spans="1:8" ht="31.5" customHeight="1" x14ac:dyDescent="0.25">
      <c r="A13" s="15"/>
      <c r="B13" s="74" t="s">
        <v>358</v>
      </c>
      <c r="C13" s="74" t="s">
        <v>158</v>
      </c>
      <c r="D13" s="83" t="s">
        <v>359</v>
      </c>
      <c r="E13" s="84" t="s">
        <v>360</v>
      </c>
      <c r="F13" s="85" t="s">
        <v>361</v>
      </c>
      <c r="G13" s="86" t="s">
        <v>362</v>
      </c>
      <c r="H13" s="15"/>
    </row>
    <row r="14" spans="1:8" ht="31.5" customHeight="1" x14ac:dyDescent="0.25">
      <c r="A14" s="15"/>
      <c r="B14" s="74" t="s">
        <v>363</v>
      </c>
      <c r="C14" s="74" t="s">
        <v>162</v>
      </c>
      <c r="D14" s="83" t="s">
        <v>364</v>
      </c>
      <c r="E14" s="84" t="s">
        <v>365</v>
      </c>
      <c r="F14" s="85" t="s">
        <v>366</v>
      </c>
      <c r="G14" s="86" t="s">
        <v>367</v>
      </c>
      <c r="H14" s="15"/>
    </row>
    <row r="15" spans="1:8" ht="31.5" customHeight="1" x14ac:dyDescent="0.25">
      <c r="A15" s="15"/>
      <c r="B15" s="74" t="s">
        <v>164</v>
      </c>
      <c r="C15" s="74" t="s">
        <v>165</v>
      </c>
      <c r="D15" s="83" t="s">
        <v>368</v>
      </c>
      <c r="E15" s="84" t="s">
        <v>369</v>
      </c>
      <c r="F15" s="85" t="s">
        <v>370</v>
      </c>
      <c r="G15" s="86" t="s">
        <v>371</v>
      </c>
      <c r="H15" s="15"/>
    </row>
    <row r="16" spans="1:8" ht="31.5" customHeight="1" x14ac:dyDescent="0.25">
      <c r="A16" s="15"/>
      <c r="B16" s="74" t="s">
        <v>372</v>
      </c>
      <c r="C16" s="74" t="s">
        <v>373</v>
      </c>
      <c r="D16" s="83" t="s">
        <v>374</v>
      </c>
      <c r="E16" s="84" t="s">
        <v>375</v>
      </c>
      <c r="F16" s="85" t="s">
        <v>376</v>
      </c>
      <c r="G16" s="86" t="s">
        <v>377</v>
      </c>
      <c r="H16" s="15"/>
    </row>
    <row r="17" spans="1:8" ht="31.5" customHeight="1" x14ac:dyDescent="0.25">
      <c r="A17" s="15"/>
      <c r="B17" s="74" t="s">
        <v>171</v>
      </c>
      <c r="C17" s="74" t="s">
        <v>172</v>
      </c>
      <c r="D17" s="83" t="s">
        <v>378</v>
      </c>
      <c r="E17" s="84" t="s">
        <v>379</v>
      </c>
      <c r="F17" s="85" t="s">
        <v>380</v>
      </c>
      <c r="G17" s="86" t="s">
        <v>381</v>
      </c>
      <c r="H17" s="15"/>
    </row>
    <row r="18" spans="1:8" ht="31.5" customHeight="1" x14ac:dyDescent="0.25">
      <c r="A18" s="15"/>
      <c r="B18" s="74" t="s">
        <v>174</v>
      </c>
      <c r="C18" s="74" t="s">
        <v>175</v>
      </c>
      <c r="D18" s="83" t="s">
        <v>382</v>
      </c>
      <c r="E18" s="84" t="s">
        <v>383</v>
      </c>
      <c r="F18" s="85" t="s">
        <v>361</v>
      </c>
      <c r="G18" s="86" t="s">
        <v>384</v>
      </c>
      <c r="H18" s="15"/>
    </row>
    <row r="19" spans="1:8" ht="31.5" customHeight="1" x14ac:dyDescent="0.25">
      <c r="A19" s="15"/>
      <c r="B19" s="74" t="s">
        <v>177</v>
      </c>
      <c r="C19" s="74" t="s">
        <v>178</v>
      </c>
      <c r="D19" s="83" t="s">
        <v>385</v>
      </c>
      <c r="E19" s="84" t="s">
        <v>386</v>
      </c>
      <c r="F19" s="85" t="s">
        <v>387</v>
      </c>
      <c r="G19" s="86" t="s">
        <v>388</v>
      </c>
      <c r="H19" s="15"/>
    </row>
    <row r="20" spans="1:8" ht="31.5" customHeight="1" x14ac:dyDescent="0.25">
      <c r="A20" s="15"/>
      <c r="B20" s="74" t="s">
        <v>389</v>
      </c>
      <c r="C20" s="74" t="s">
        <v>181</v>
      </c>
      <c r="D20" s="83" t="s">
        <v>385</v>
      </c>
      <c r="E20" s="84" t="s">
        <v>386</v>
      </c>
      <c r="F20" s="85" t="s">
        <v>387</v>
      </c>
      <c r="G20" s="86" t="s">
        <v>390</v>
      </c>
      <c r="H20" s="15"/>
    </row>
    <row r="21" spans="1:8" ht="31.5" customHeight="1" x14ac:dyDescent="0.25">
      <c r="A21" s="15"/>
      <c r="B21" s="74" t="s">
        <v>391</v>
      </c>
      <c r="C21" s="74" t="s">
        <v>183</v>
      </c>
      <c r="D21" s="83" t="s">
        <v>382</v>
      </c>
      <c r="E21" s="84" t="s">
        <v>392</v>
      </c>
      <c r="F21" s="85" t="s">
        <v>393</v>
      </c>
      <c r="G21" s="86" t="s">
        <v>394</v>
      </c>
      <c r="H21" s="15"/>
    </row>
    <row r="22" spans="1:8" ht="31.5" customHeight="1" x14ac:dyDescent="0.25">
      <c r="A22" s="15"/>
      <c r="B22" s="74" t="s">
        <v>395</v>
      </c>
      <c r="C22" s="74" t="s">
        <v>186</v>
      </c>
      <c r="D22" s="83" t="s">
        <v>396</v>
      </c>
      <c r="E22" s="84" t="s">
        <v>397</v>
      </c>
      <c r="F22" s="85" t="s">
        <v>398</v>
      </c>
      <c r="G22" s="86" t="s">
        <v>399</v>
      </c>
      <c r="H22" s="15"/>
    </row>
    <row r="23" spans="1:8" ht="31.5" customHeight="1" x14ac:dyDescent="0.25">
      <c r="A23" s="15"/>
      <c r="B23" s="74" t="s">
        <v>192</v>
      </c>
      <c r="C23" s="74" t="s">
        <v>400</v>
      </c>
      <c r="D23" s="83" t="s">
        <v>401</v>
      </c>
      <c r="E23" s="84" t="s">
        <v>402</v>
      </c>
      <c r="F23" s="85" t="s">
        <v>403</v>
      </c>
      <c r="G23" s="86" t="s">
        <v>404</v>
      </c>
      <c r="H23" s="15"/>
    </row>
    <row r="24" spans="1:8" ht="31.5" customHeight="1" x14ac:dyDescent="0.25">
      <c r="A24" s="15"/>
      <c r="B24" s="74" t="s">
        <v>405</v>
      </c>
      <c r="C24" s="74" t="s">
        <v>406</v>
      </c>
      <c r="D24" s="83" t="s">
        <v>407</v>
      </c>
      <c r="E24" s="84" t="s">
        <v>408</v>
      </c>
      <c r="F24" s="85" t="s">
        <v>409</v>
      </c>
      <c r="G24" s="86" t="s">
        <v>410</v>
      </c>
      <c r="H24" s="15"/>
    </row>
    <row r="25" spans="1:8" ht="31.5" customHeight="1" x14ac:dyDescent="0.25">
      <c r="A25" s="15"/>
      <c r="B25" s="74" t="s">
        <v>411</v>
      </c>
      <c r="C25" s="74" t="s">
        <v>412</v>
      </c>
      <c r="D25" s="83" t="s">
        <v>413</v>
      </c>
      <c r="E25" s="84" t="s">
        <v>414</v>
      </c>
      <c r="F25" s="85" t="s">
        <v>415</v>
      </c>
      <c r="G25" s="86" t="s">
        <v>416</v>
      </c>
      <c r="H25" s="15"/>
    </row>
    <row r="26" spans="1:8" ht="31.5" customHeight="1" x14ac:dyDescent="0.25">
      <c r="A26" s="15"/>
      <c r="B26" s="74" t="s">
        <v>417</v>
      </c>
      <c r="C26" s="74" t="s">
        <v>208</v>
      </c>
      <c r="D26" s="83" t="s">
        <v>401</v>
      </c>
      <c r="E26" s="84" t="s">
        <v>402</v>
      </c>
      <c r="F26" s="85" t="s">
        <v>403</v>
      </c>
      <c r="G26" s="86" t="s">
        <v>418</v>
      </c>
      <c r="H26" s="15"/>
    </row>
    <row r="27" spans="1:8" ht="31.5" customHeight="1" x14ac:dyDescent="0.25">
      <c r="A27" s="15"/>
      <c r="B27" s="74" t="s">
        <v>419</v>
      </c>
      <c r="C27" s="74" t="s">
        <v>420</v>
      </c>
      <c r="D27" s="83" t="s">
        <v>421</v>
      </c>
      <c r="E27" s="84" t="s">
        <v>422</v>
      </c>
      <c r="F27" s="85" t="s">
        <v>423</v>
      </c>
      <c r="G27" s="86" t="s">
        <v>424</v>
      </c>
      <c r="H27" s="15"/>
    </row>
    <row r="28" spans="1:8" ht="31.5" customHeight="1" x14ac:dyDescent="0.25">
      <c r="A28" s="15"/>
      <c r="B28" s="74" t="s">
        <v>425</v>
      </c>
      <c r="C28" s="74" t="s">
        <v>426</v>
      </c>
      <c r="D28" s="83" t="s">
        <v>427</v>
      </c>
      <c r="E28" s="84" t="s">
        <v>428</v>
      </c>
      <c r="F28" s="85" t="s">
        <v>429</v>
      </c>
      <c r="G28" s="86" t="s">
        <v>430</v>
      </c>
      <c r="H28" s="15"/>
    </row>
  </sheetData>
  <mergeCells count="4">
    <mergeCell ref="B2:H2"/>
    <mergeCell ref="B3:H3"/>
    <mergeCell ref="B5:G5"/>
    <mergeCell ref="B6:G8"/>
  </mergeCells>
  <pageMargins left="0.3" right="0.3" top="0.4" bottom="0.4"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9</vt:i4>
      </vt:variant>
      <vt:variant>
        <vt:lpstr>Rangos con nombre</vt:lpstr>
      </vt:variant>
      <vt:variant>
        <vt:i4>18</vt:i4>
      </vt:variant>
    </vt:vector>
  </HeadingPairs>
  <TitlesOfParts>
    <vt:vector size="27" baseType="lpstr">
      <vt:lpstr>Inicio_Guía</vt:lpstr>
      <vt:lpstr>ER_3Años</vt:lpstr>
      <vt:lpstr>BG_3Años</vt:lpstr>
      <vt:lpstr>Flujo_3Años</vt:lpstr>
      <vt:lpstr>Crédito_DSCR</vt:lpstr>
      <vt:lpstr>Indicadores</vt:lpstr>
      <vt:lpstr>Altman_Z</vt:lpstr>
      <vt:lpstr>Matriz_Decisión</vt:lpstr>
      <vt:lpstr>Guía_Rangos</vt:lpstr>
      <vt:lpstr>Altman_Z!Área_de_impresión</vt:lpstr>
      <vt:lpstr>BG_3Años!Área_de_impresión</vt:lpstr>
      <vt:lpstr>Crédito_DSCR!Área_de_impresión</vt:lpstr>
      <vt:lpstr>ER_3Años!Área_de_impresión</vt:lpstr>
      <vt:lpstr>Flujo_3Años!Área_de_impresión</vt:lpstr>
      <vt:lpstr>Guía_Rangos!Área_de_impresión</vt:lpstr>
      <vt:lpstr>Indicadores!Área_de_impresión</vt:lpstr>
      <vt:lpstr>Inicio_Guía!Área_de_impresión</vt:lpstr>
      <vt:lpstr>Matriz_Decisión!Área_de_impresión</vt:lpstr>
      <vt:lpstr>Altman_Z!Títulos_a_imprimir</vt:lpstr>
      <vt:lpstr>BG_3Años!Títulos_a_imprimir</vt:lpstr>
      <vt:lpstr>Crédito_DSCR!Títulos_a_imprimir</vt:lpstr>
      <vt:lpstr>ER_3Años!Títulos_a_imprimir</vt:lpstr>
      <vt:lpstr>Flujo_3Años!Títulos_a_imprimir</vt:lpstr>
      <vt:lpstr>Guía_Rangos!Títulos_a_imprimir</vt:lpstr>
      <vt:lpstr>Indicadores!Títulos_a_imprimir</vt:lpstr>
      <vt:lpstr>Inicio_Guía!Títulos_a_imprimir</vt:lpstr>
      <vt:lpstr>Matriz_Decisión!Títulos_a_imprimir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Gloria Rojas</cp:lastModifiedBy>
  <cp:revision>9</cp:revision>
  <dcterms:created xsi:type="dcterms:W3CDTF">2026-08-06T15:04:42Z</dcterms:created>
  <dcterms:modified xsi:type="dcterms:W3CDTF">2026-08-21T22:01:07Z</dcterms:modified>
  <dc:language>en-US</dc:language>
</cp:coreProperties>
</file>